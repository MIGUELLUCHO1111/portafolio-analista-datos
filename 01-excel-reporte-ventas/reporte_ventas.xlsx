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LISTA TI-TRACKER\Documents\portafolio-analista-datos\01-excel-reporte-ventas\"/>
    </mc:Choice>
  </mc:AlternateContent>
  <xr:revisionPtr revIDLastSave="0" documentId="13_ncr:1_{1067083F-943B-446C-90FC-220D194F7A9C}" xr6:coauthVersionLast="47" xr6:coauthVersionMax="47" xr10:uidLastSave="{00000000-0000-0000-0000-000000000000}"/>
  <bookViews>
    <workbookView xWindow="2340" yWindow="2340" windowWidth="18000" windowHeight="9270" xr2:uid="{00000000-000D-0000-FFFF-FFFF00000000}"/>
  </bookViews>
  <sheets>
    <sheet name="Resumen" sheetId="1" r:id="rId1"/>
    <sheet name="Datos" sheetId="2" r:id="rId2"/>
    <sheet name="Productos" sheetId="3" r:id="rId3"/>
    <sheet name="Vendedores" sheetId="4" r:id="rId4"/>
    <sheet name="Tu turn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1" i="2" l="1"/>
  <c r="J121" i="2"/>
  <c r="M121" i="2" s="1"/>
  <c r="I121" i="2"/>
  <c r="K121" i="2" s="1"/>
  <c r="H121" i="2"/>
  <c r="L120" i="2"/>
  <c r="J120" i="2"/>
  <c r="M120" i="2" s="1"/>
  <c r="I120" i="2"/>
  <c r="K120" i="2" s="1"/>
  <c r="H120" i="2"/>
  <c r="L119" i="2"/>
  <c r="J119" i="2"/>
  <c r="M119" i="2" s="1"/>
  <c r="I119" i="2"/>
  <c r="K119" i="2" s="1"/>
  <c r="H119" i="2"/>
  <c r="L118" i="2"/>
  <c r="J118" i="2"/>
  <c r="M118" i="2" s="1"/>
  <c r="I118" i="2"/>
  <c r="K118" i="2" s="1"/>
  <c r="H118" i="2"/>
  <c r="L117" i="2"/>
  <c r="J117" i="2"/>
  <c r="M117" i="2" s="1"/>
  <c r="I117" i="2"/>
  <c r="K117" i="2" s="1"/>
  <c r="H117" i="2"/>
  <c r="L116" i="2"/>
  <c r="J116" i="2"/>
  <c r="M116" i="2" s="1"/>
  <c r="I116" i="2"/>
  <c r="K116" i="2" s="1"/>
  <c r="H116" i="2"/>
  <c r="L115" i="2"/>
  <c r="J115" i="2"/>
  <c r="M115" i="2" s="1"/>
  <c r="I115" i="2"/>
  <c r="K115" i="2" s="1"/>
  <c r="H115" i="2"/>
  <c r="L114" i="2"/>
  <c r="J114" i="2"/>
  <c r="M114" i="2" s="1"/>
  <c r="I114" i="2"/>
  <c r="K114" i="2" s="1"/>
  <c r="H114" i="2"/>
  <c r="L113" i="2"/>
  <c r="J113" i="2"/>
  <c r="M113" i="2" s="1"/>
  <c r="I113" i="2"/>
  <c r="K113" i="2" s="1"/>
  <c r="H113" i="2"/>
  <c r="L112" i="2"/>
  <c r="J112" i="2"/>
  <c r="M112" i="2" s="1"/>
  <c r="I112" i="2"/>
  <c r="K112" i="2" s="1"/>
  <c r="H112" i="2"/>
  <c r="L111" i="2"/>
  <c r="J111" i="2"/>
  <c r="M111" i="2" s="1"/>
  <c r="I111" i="2"/>
  <c r="K111" i="2" s="1"/>
  <c r="H111" i="2"/>
  <c r="L110" i="2"/>
  <c r="J110" i="2"/>
  <c r="M110" i="2" s="1"/>
  <c r="I110" i="2"/>
  <c r="K110" i="2" s="1"/>
  <c r="H110" i="2"/>
  <c r="L109" i="2"/>
  <c r="J109" i="2"/>
  <c r="M109" i="2" s="1"/>
  <c r="I109" i="2"/>
  <c r="K109" i="2" s="1"/>
  <c r="H109" i="2"/>
  <c r="L108" i="2"/>
  <c r="J108" i="2"/>
  <c r="M108" i="2" s="1"/>
  <c r="I108" i="2"/>
  <c r="K108" i="2" s="1"/>
  <c r="H108" i="2"/>
  <c r="L107" i="2"/>
  <c r="J107" i="2"/>
  <c r="M107" i="2" s="1"/>
  <c r="I107" i="2"/>
  <c r="K107" i="2" s="1"/>
  <c r="H107" i="2"/>
  <c r="L106" i="2"/>
  <c r="J106" i="2"/>
  <c r="M106" i="2" s="1"/>
  <c r="I106" i="2"/>
  <c r="K106" i="2" s="1"/>
  <c r="H106" i="2"/>
  <c r="L105" i="2"/>
  <c r="J105" i="2"/>
  <c r="M105" i="2" s="1"/>
  <c r="I105" i="2"/>
  <c r="K105" i="2" s="1"/>
  <c r="H105" i="2"/>
  <c r="L104" i="2"/>
  <c r="J104" i="2"/>
  <c r="M104" i="2" s="1"/>
  <c r="I104" i="2"/>
  <c r="K104" i="2" s="1"/>
  <c r="H104" i="2"/>
  <c r="L103" i="2"/>
  <c r="J103" i="2"/>
  <c r="M103" i="2" s="1"/>
  <c r="I103" i="2"/>
  <c r="K103" i="2" s="1"/>
  <c r="H103" i="2"/>
  <c r="L102" i="2"/>
  <c r="J102" i="2"/>
  <c r="M102" i="2" s="1"/>
  <c r="I102" i="2"/>
  <c r="K102" i="2" s="1"/>
  <c r="H102" i="2"/>
  <c r="L101" i="2"/>
  <c r="J101" i="2"/>
  <c r="M101" i="2" s="1"/>
  <c r="I101" i="2"/>
  <c r="K101" i="2" s="1"/>
  <c r="H101" i="2"/>
  <c r="L100" i="2"/>
  <c r="J100" i="2"/>
  <c r="M100" i="2" s="1"/>
  <c r="I100" i="2"/>
  <c r="K100" i="2" s="1"/>
  <c r="H100" i="2"/>
  <c r="L99" i="2"/>
  <c r="J99" i="2"/>
  <c r="M99" i="2" s="1"/>
  <c r="I99" i="2"/>
  <c r="K99" i="2" s="1"/>
  <c r="H99" i="2"/>
  <c r="L98" i="2"/>
  <c r="J98" i="2"/>
  <c r="M98" i="2" s="1"/>
  <c r="I98" i="2"/>
  <c r="K98" i="2" s="1"/>
  <c r="H98" i="2"/>
  <c r="L97" i="2"/>
  <c r="J97" i="2"/>
  <c r="M97" i="2" s="1"/>
  <c r="I97" i="2"/>
  <c r="K97" i="2" s="1"/>
  <c r="H97" i="2"/>
  <c r="L96" i="2"/>
  <c r="J96" i="2"/>
  <c r="M96" i="2" s="1"/>
  <c r="I96" i="2"/>
  <c r="K96" i="2" s="1"/>
  <c r="H96" i="2"/>
  <c r="L95" i="2"/>
  <c r="J95" i="2"/>
  <c r="M95" i="2" s="1"/>
  <c r="I95" i="2"/>
  <c r="K95" i="2" s="1"/>
  <c r="H95" i="2"/>
  <c r="L94" i="2"/>
  <c r="J94" i="2"/>
  <c r="M94" i="2" s="1"/>
  <c r="I94" i="2"/>
  <c r="K94" i="2" s="1"/>
  <c r="H94" i="2"/>
  <c r="L93" i="2"/>
  <c r="J93" i="2"/>
  <c r="M93" i="2" s="1"/>
  <c r="I93" i="2"/>
  <c r="K93" i="2" s="1"/>
  <c r="H93" i="2"/>
  <c r="L92" i="2"/>
  <c r="J92" i="2"/>
  <c r="M92" i="2" s="1"/>
  <c r="I92" i="2"/>
  <c r="K92" i="2" s="1"/>
  <c r="H92" i="2"/>
  <c r="L91" i="2"/>
  <c r="J91" i="2"/>
  <c r="M91" i="2" s="1"/>
  <c r="I91" i="2"/>
  <c r="K91" i="2" s="1"/>
  <c r="H91" i="2"/>
  <c r="L90" i="2"/>
  <c r="J90" i="2"/>
  <c r="M90" i="2" s="1"/>
  <c r="I90" i="2"/>
  <c r="K90" i="2" s="1"/>
  <c r="H90" i="2"/>
  <c r="L89" i="2"/>
  <c r="J89" i="2"/>
  <c r="M89" i="2" s="1"/>
  <c r="I89" i="2"/>
  <c r="K89" i="2" s="1"/>
  <c r="H89" i="2"/>
  <c r="L88" i="2"/>
  <c r="J88" i="2"/>
  <c r="M88" i="2" s="1"/>
  <c r="I88" i="2"/>
  <c r="K88" i="2" s="1"/>
  <c r="H88" i="2"/>
  <c r="L87" i="2"/>
  <c r="J87" i="2"/>
  <c r="M87" i="2" s="1"/>
  <c r="I87" i="2"/>
  <c r="K87" i="2" s="1"/>
  <c r="H87" i="2"/>
  <c r="L86" i="2"/>
  <c r="J86" i="2"/>
  <c r="M86" i="2" s="1"/>
  <c r="I86" i="2"/>
  <c r="K86" i="2" s="1"/>
  <c r="H86" i="2"/>
  <c r="L85" i="2"/>
  <c r="J85" i="2"/>
  <c r="M85" i="2" s="1"/>
  <c r="I85" i="2"/>
  <c r="K85" i="2" s="1"/>
  <c r="H85" i="2"/>
  <c r="L84" i="2"/>
  <c r="J84" i="2"/>
  <c r="M84" i="2" s="1"/>
  <c r="I84" i="2"/>
  <c r="K84" i="2" s="1"/>
  <c r="H84" i="2"/>
  <c r="L83" i="2"/>
  <c r="J83" i="2"/>
  <c r="M83" i="2" s="1"/>
  <c r="I83" i="2"/>
  <c r="K83" i="2" s="1"/>
  <c r="H83" i="2"/>
  <c r="L82" i="2"/>
  <c r="J82" i="2"/>
  <c r="M82" i="2" s="1"/>
  <c r="I82" i="2"/>
  <c r="K82" i="2" s="1"/>
  <c r="H82" i="2"/>
  <c r="L81" i="2"/>
  <c r="J81" i="2"/>
  <c r="M81" i="2" s="1"/>
  <c r="I81" i="2"/>
  <c r="K81" i="2" s="1"/>
  <c r="H81" i="2"/>
  <c r="L80" i="2"/>
  <c r="J80" i="2"/>
  <c r="M80" i="2" s="1"/>
  <c r="I80" i="2"/>
  <c r="K80" i="2" s="1"/>
  <c r="H80" i="2"/>
  <c r="L79" i="2"/>
  <c r="J79" i="2"/>
  <c r="M79" i="2" s="1"/>
  <c r="I79" i="2"/>
  <c r="K79" i="2" s="1"/>
  <c r="H79" i="2"/>
  <c r="L78" i="2"/>
  <c r="J78" i="2"/>
  <c r="M78" i="2" s="1"/>
  <c r="I78" i="2"/>
  <c r="K78" i="2" s="1"/>
  <c r="H78" i="2"/>
  <c r="L77" i="2"/>
  <c r="J77" i="2"/>
  <c r="M77" i="2" s="1"/>
  <c r="I77" i="2"/>
  <c r="K77" i="2" s="1"/>
  <c r="H77" i="2"/>
  <c r="L76" i="2"/>
  <c r="J76" i="2"/>
  <c r="M76" i="2" s="1"/>
  <c r="I76" i="2"/>
  <c r="K76" i="2" s="1"/>
  <c r="H76" i="2"/>
  <c r="L75" i="2"/>
  <c r="J75" i="2"/>
  <c r="M75" i="2" s="1"/>
  <c r="I75" i="2"/>
  <c r="K75" i="2" s="1"/>
  <c r="H75" i="2"/>
  <c r="L74" i="2"/>
  <c r="J74" i="2"/>
  <c r="M74" i="2" s="1"/>
  <c r="I74" i="2"/>
  <c r="K74" i="2" s="1"/>
  <c r="H74" i="2"/>
  <c r="L73" i="2"/>
  <c r="J73" i="2"/>
  <c r="M73" i="2" s="1"/>
  <c r="I73" i="2"/>
  <c r="K73" i="2" s="1"/>
  <c r="H73" i="2"/>
  <c r="L72" i="2"/>
  <c r="J72" i="2"/>
  <c r="M72" i="2" s="1"/>
  <c r="I72" i="2"/>
  <c r="K72" i="2" s="1"/>
  <c r="H72" i="2"/>
  <c r="L71" i="2"/>
  <c r="J71" i="2"/>
  <c r="M71" i="2" s="1"/>
  <c r="I71" i="2"/>
  <c r="K71" i="2" s="1"/>
  <c r="H71" i="2"/>
  <c r="L70" i="2"/>
  <c r="J70" i="2"/>
  <c r="M70" i="2" s="1"/>
  <c r="I70" i="2"/>
  <c r="K70" i="2" s="1"/>
  <c r="H70" i="2"/>
  <c r="L69" i="2"/>
  <c r="J69" i="2"/>
  <c r="M69" i="2" s="1"/>
  <c r="I69" i="2"/>
  <c r="K69" i="2" s="1"/>
  <c r="H69" i="2"/>
  <c r="L68" i="2"/>
  <c r="J68" i="2"/>
  <c r="M68" i="2" s="1"/>
  <c r="I68" i="2"/>
  <c r="K68" i="2" s="1"/>
  <c r="H68" i="2"/>
  <c r="L67" i="2"/>
  <c r="J67" i="2"/>
  <c r="M67" i="2" s="1"/>
  <c r="I67" i="2"/>
  <c r="K67" i="2" s="1"/>
  <c r="H67" i="2"/>
  <c r="L66" i="2"/>
  <c r="J66" i="2"/>
  <c r="M66" i="2" s="1"/>
  <c r="I66" i="2"/>
  <c r="K66" i="2" s="1"/>
  <c r="H66" i="2"/>
  <c r="L65" i="2"/>
  <c r="J65" i="2"/>
  <c r="M65" i="2" s="1"/>
  <c r="I65" i="2"/>
  <c r="K65" i="2" s="1"/>
  <c r="H65" i="2"/>
  <c r="L64" i="2"/>
  <c r="J64" i="2"/>
  <c r="M64" i="2" s="1"/>
  <c r="I64" i="2"/>
  <c r="K64" i="2" s="1"/>
  <c r="H64" i="2"/>
  <c r="L63" i="2"/>
  <c r="J63" i="2"/>
  <c r="M63" i="2" s="1"/>
  <c r="I63" i="2"/>
  <c r="K63" i="2" s="1"/>
  <c r="H63" i="2"/>
  <c r="L62" i="2"/>
  <c r="J62" i="2"/>
  <c r="M62" i="2" s="1"/>
  <c r="I62" i="2"/>
  <c r="K62" i="2" s="1"/>
  <c r="H62" i="2"/>
  <c r="L61" i="2"/>
  <c r="J61" i="2"/>
  <c r="M61" i="2" s="1"/>
  <c r="I61" i="2"/>
  <c r="K61" i="2" s="1"/>
  <c r="H61" i="2"/>
  <c r="L60" i="2"/>
  <c r="J60" i="2"/>
  <c r="M60" i="2" s="1"/>
  <c r="I60" i="2"/>
  <c r="K60" i="2" s="1"/>
  <c r="H60" i="2"/>
  <c r="L59" i="2"/>
  <c r="J59" i="2"/>
  <c r="M59" i="2" s="1"/>
  <c r="I59" i="2"/>
  <c r="K59" i="2" s="1"/>
  <c r="H59" i="2"/>
  <c r="L58" i="2"/>
  <c r="J58" i="2"/>
  <c r="M58" i="2" s="1"/>
  <c r="I58" i="2"/>
  <c r="K58" i="2" s="1"/>
  <c r="H58" i="2"/>
  <c r="L57" i="2"/>
  <c r="J57" i="2"/>
  <c r="M57" i="2" s="1"/>
  <c r="I57" i="2"/>
  <c r="K57" i="2" s="1"/>
  <c r="H57" i="2"/>
  <c r="L56" i="2"/>
  <c r="J56" i="2"/>
  <c r="M56" i="2" s="1"/>
  <c r="I56" i="2"/>
  <c r="K56" i="2" s="1"/>
  <c r="H56" i="2"/>
  <c r="L55" i="2"/>
  <c r="J55" i="2"/>
  <c r="M55" i="2" s="1"/>
  <c r="I55" i="2"/>
  <c r="K55" i="2" s="1"/>
  <c r="H55" i="2"/>
  <c r="L54" i="2"/>
  <c r="J54" i="2"/>
  <c r="M54" i="2" s="1"/>
  <c r="I54" i="2"/>
  <c r="K54" i="2" s="1"/>
  <c r="H54" i="2"/>
  <c r="L53" i="2"/>
  <c r="J53" i="2"/>
  <c r="M53" i="2" s="1"/>
  <c r="I53" i="2"/>
  <c r="K53" i="2" s="1"/>
  <c r="H53" i="2"/>
  <c r="L52" i="2"/>
  <c r="J52" i="2"/>
  <c r="M52" i="2" s="1"/>
  <c r="I52" i="2"/>
  <c r="K52" i="2" s="1"/>
  <c r="H52" i="2"/>
  <c r="L51" i="2"/>
  <c r="J51" i="2"/>
  <c r="M51" i="2" s="1"/>
  <c r="I51" i="2"/>
  <c r="K51" i="2" s="1"/>
  <c r="H51" i="2"/>
  <c r="L50" i="2"/>
  <c r="J50" i="2"/>
  <c r="M50" i="2" s="1"/>
  <c r="I50" i="2"/>
  <c r="K50" i="2" s="1"/>
  <c r="H50" i="2"/>
  <c r="L49" i="2"/>
  <c r="J49" i="2"/>
  <c r="M49" i="2" s="1"/>
  <c r="I49" i="2"/>
  <c r="K49" i="2" s="1"/>
  <c r="H49" i="2"/>
  <c r="L48" i="2"/>
  <c r="J48" i="2"/>
  <c r="M48" i="2" s="1"/>
  <c r="I48" i="2"/>
  <c r="K48" i="2" s="1"/>
  <c r="H48" i="2"/>
  <c r="L47" i="2"/>
  <c r="J47" i="2"/>
  <c r="M47" i="2" s="1"/>
  <c r="I47" i="2"/>
  <c r="K47" i="2" s="1"/>
  <c r="H47" i="2"/>
  <c r="L46" i="2"/>
  <c r="J46" i="2"/>
  <c r="M46" i="2" s="1"/>
  <c r="I46" i="2"/>
  <c r="K46" i="2" s="1"/>
  <c r="H46" i="2"/>
  <c r="L45" i="2"/>
  <c r="J45" i="2"/>
  <c r="M45" i="2" s="1"/>
  <c r="I45" i="2"/>
  <c r="K45" i="2" s="1"/>
  <c r="H45" i="2"/>
  <c r="L44" i="2"/>
  <c r="J44" i="2"/>
  <c r="M44" i="2" s="1"/>
  <c r="I44" i="2"/>
  <c r="K44" i="2" s="1"/>
  <c r="H44" i="2"/>
  <c r="L43" i="2"/>
  <c r="J43" i="2"/>
  <c r="M43" i="2" s="1"/>
  <c r="I43" i="2"/>
  <c r="K43" i="2" s="1"/>
  <c r="H43" i="2"/>
  <c r="L42" i="2"/>
  <c r="J42" i="2"/>
  <c r="M42" i="2" s="1"/>
  <c r="I42" i="2"/>
  <c r="K42" i="2" s="1"/>
  <c r="H42" i="2"/>
  <c r="L41" i="2"/>
  <c r="J41" i="2"/>
  <c r="M41" i="2" s="1"/>
  <c r="I41" i="2"/>
  <c r="K41" i="2" s="1"/>
  <c r="H41" i="2"/>
  <c r="L40" i="2"/>
  <c r="J40" i="2"/>
  <c r="M40" i="2" s="1"/>
  <c r="I40" i="2"/>
  <c r="K40" i="2" s="1"/>
  <c r="H40" i="2"/>
  <c r="L39" i="2"/>
  <c r="J39" i="2"/>
  <c r="M39" i="2" s="1"/>
  <c r="I39" i="2"/>
  <c r="K39" i="2" s="1"/>
  <c r="H39" i="2"/>
  <c r="L38" i="2"/>
  <c r="J38" i="2"/>
  <c r="M38" i="2" s="1"/>
  <c r="I38" i="2"/>
  <c r="K38" i="2" s="1"/>
  <c r="H38" i="2"/>
  <c r="L37" i="2"/>
  <c r="J37" i="2"/>
  <c r="M37" i="2" s="1"/>
  <c r="I37" i="2"/>
  <c r="K37" i="2" s="1"/>
  <c r="H37" i="2"/>
  <c r="L36" i="2"/>
  <c r="J36" i="2"/>
  <c r="M36" i="2" s="1"/>
  <c r="I36" i="2"/>
  <c r="K36" i="2" s="1"/>
  <c r="H36" i="2"/>
  <c r="L35" i="2"/>
  <c r="J35" i="2"/>
  <c r="M35" i="2" s="1"/>
  <c r="I35" i="2"/>
  <c r="K35" i="2" s="1"/>
  <c r="H35" i="2"/>
  <c r="L34" i="2"/>
  <c r="J34" i="2"/>
  <c r="M34" i="2" s="1"/>
  <c r="I34" i="2"/>
  <c r="K34" i="2" s="1"/>
  <c r="H34" i="2"/>
  <c r="L33" i="2"/>
  <c r="J33" i="2"/>
  <c r="M33" i="2" s="1"/>
  <c r="I33" i="2"/>
  <c r="K33" i="2" s="1"/>
  <c r="H33" i="2"/>
  <c r="L32" i="2"/>
  <c r="J32" i="2"/>
  <c r="M32" i="2" s="1"/>
  <c r="I32" i="2"/>
  <c r="K32" i="2" s="1"/>
  <c r="H32" i="2"/>
  <c r="L31" i="2"/>
  <c r="J31" i="2"/>
  <c r="M31" i="2" s="1"/>
  <c r="I31" i="2"/>
  <c r="K31" i="2" s="1"/>
  <c r="H31" i="2"/>
  <c r="L30" i="2"/>
  <c r="J30" i="2"/>
  <c r="M30" i="2" s="1"/>
  <c r="I30" i="2"/>
  <c r="K30" i="2" s="1"/>
  <c r="H30" i="2"/>
  <c r="L29" i="2"/>
  <c r="J29" i="2"/>
  <c r="M29" i="2" s="1"/>
  <c r="I29" i="2"/>
  <c r="K29" i="2" s="1"/>
  <c r="H29" i="2"/>
  <c r="L28" i="2"/>
  <c r="J28" i="2"/>
  <c r="M28" i="2" s="1"/>
  <c r="I28" i="2"/>
  <c r="K28" i="2" s="1"/>
  <c r="H28" i="2"/>
  <c r="L27" i="2"/>
  <c r="J27" i="2"/>
  <c r="M27" i="2" s="1"/>
  <c r="I27" i="2"/>
  <c r="K27" i="2" s="1"/>
  <c r="H27" i="2"/>
  <c r="L26" i="2"/>
  <c r="J26" i="2"/>
  <c r="M26" i="2" s="1"/>
  <c r="I26" i="2"/>
  <c r="K26" i="2" s="1"/>
  <c r="H26" i="2"/>
  <c r="L25" i="2"/>
  <c r="J25" i="2"/>
  <c r="M25" i="2" s="1"/>
  <c r="I25" i="2"/>
  <c r="K25" i="2" s="1"/>
  <c r="H25" i="2"/>
  <c r="L24" i="2"/>
  <c r="J24" i="2"/>
  <c r="M24" i="2" s="1"/>
  <c r="I24" i="2"/>
  <c r="K24" i="2" s="1"/>
  <c r="H24" i="2"/>
  <c r="L23" i="2"/>
  <c r="J23" i="2"/>
  <c r="M23" i="2" s="1"/>
  <c r="I23" i="2"/>
  <c r="K23" i="2" s="1"/>
  <c r="H23" i="2"/>
  <c r="L22" i="2"/>
  <c r="J22" i="2"/>
  <c r="M22" i="2" s="1"/>
  <c r="I22" i="2"/>
  <c r="K22" i="2" s="1"/>
  <c r="H22" i="2"/>
  <c r="L21" i="2"/>
  <c r="J21" i="2"/>
  <c r="M21" i="2" s="1"/>
  <c r="I21" i="2"/>
  <c r="K21" i="2" s="1"/>
  <c r="H21" i="2"/>
  <c r="L20" i="2"/>
  <c r="J20" i="2"/>
  <c r="M20" i="2" s="1"/>
  <c r="I20" i="2"/>
  <c r="K20" i="2" s="1"/>
  <c r="H20" i="2"/>
  <c r="L19" i="2"/>
  <c r="J19" i="2"/>
  <c r="M19" i="2" s="1"/>
  <c r="I19" i="2"/>
  <c r="K19" i="2" s="1"/>
  <c r="H19" i="2"/>
  <c r="L18" i="2"/>
  <c r="J18" i="2"/>
  <c r="M18" i="2" s="1"/>
  <c r="I18" i="2"/>
  <c r="K18" i="2" s="1"/>
  <c r="H18" i="2"/>
  <c r="L17" i="2"/>
  <c r="J17" i="2"/>
  <c r="M17" i="2" s="1"/>
  <c r="I17" i="2"/>
  <c r="K17" i="2" s="1"/>
  <c r="H17" i="2"/>
  <c r="L16" i="2"/>
  <c r="J16" i="2"/>
  <c r="M16" i="2" s="1"/>
  <c r="I16" i="2"/>
  <c r="K16" i="2" s="1"/>
  <c r="H16" i="2"/>
  <c r="L15" i="2"/>
  <c r="J15" i="2"/>
  <c r="M15" i="2" s="1"/>
  <c r="I15" i="2"/>
  <c r="K15" i="2" s="1"/>
  <c r="H15" i="2"/>
  <c r="L14" i="2"/>
  <c r="J14" i="2"/>
  <c r="M14" i="2" s="1"/>
  <c r="I14" i="2"/>
  <c r="K14" i="2" s="1"/>
  <c r="H14" i="2"/>
  <c r="L13" i="2"/>
  <c r="J13" i="2"/>
  <c r="M13" i="2" s="1"/>
  <c r="I13" i="2"/>
  <c r="K13" i="2" s="1"/>
  <c r="H13" i="2"/>
  <c r="L12" i="2"/>
  <c r="J12" i="2"/>
  <c r="M12" i="2" s="1"/>
  <c r="I12" i="2"/>
  <c r="K12" i="2" s="1"/>
  <c r="H12" i="2"/>
  <c r="L11" i="2"/>
  <c r="J11" i="2"/>
  <c r="M11" i="2" s="1"/>
  <c r="I11" i="2"/>
  <c r="K11" i="2" s="1"/>
  <c r="H11" i="2"/>
  <c r="L10" i="2"/>
  <c r="J10" i="2"/>
  <c r="M10" i="2" s="1"/>
  <c r="I10" i="2"/>
  <c r="K10" i="2" s="1"/>
  <c r="H10" i="2"/>
  <c r="L9" i="2"/>
  <c r="J9" i="2"/>
  <c r="M9" i="2" s="1"/>
  <c r="I9" i="2"/>
  <c r="K9" i="2" s="1"/>
  <c r="H9" i="2"/>
  <c r="L8" i="2"/>
  <c r="J8" i="2"/>
  <c r="M8" i="2" s="1"/>
  <c r="I8" i="2"/>
  <c r="K8" i="2" s="1"/>
  <c r="H8" i="2"/>
  <c r="L7" i="2"/>
  <c r="J7" i="2"/>
  <c r="M7" i="2" s="1"/>
  <c r="I7" i="2"/>
  <c r="K7" i="2" s="1"/>
  <c r="H7" i="2"/>
  <c r="L6" i="2"/>
  <c r="J6" i="2"/>
  <c r="M6" i="2" s="1"/>
  <c r="I6" i="2"/>
  <c r="K6" i="2" s="1"/>
  <c r="H6" i="2"/>
  <c r="L5" i="2"/>
  <c r="J5" i="2"/>
  <c r="M5" i="2" s="1"/>
  <c r="I5" i="2"/>
  <c r="K5" i="2" s="1"/>
  <c r="H5" i="2"/>
  <c r="L4" i="2"/>
  <c r="J4" i="2"/>
  <c r="M4" i="2" s="1"/>
  <c r="I4" i="2"/>
  <c r="K4" i="2" s="1"/>
  <c r="H4" i="2"/>
  <c r="L3" i="2"/>
  <c r="J3" i="2"/>
  <c r="M3" i="2" s="1"/>
  <c r="I3" i="2"/>
  <c r="K3" i="2" s="1"/>
  <c r="H3" i="2"/>
  <c r="L2" i="2"/>
  <c r="J2" i="2"/>
  <c r="B9" i="1" s="1"/>
  <c r="I2" i="2"/>
  <c r="K2" i="2" s="1"/>
  <c r="H2" i="2"/>
  <c r="C19" i="1"/>
  <c r="C18" i="1"/>
  <c r="C17" i="1"/>
  <c r="C16" i="1"/>
  <c r="C15" i="1"/>
  <c r="B15" i="1"/>
  <c r="C14" i="1"/>
  <c r="B14" i="1"/>
  <c r="D14" i="1" s="1"/>
  <c r="E14" i="1" s="1"/>
  <c r="G7" i="1"/>
  <c r="B7" i="1"/>
  <c r="G6" i="1"/>
  <c r="G5" i="1"/>
  <c r="G4" i="1"/>
  <c r="E4" i="1"/>
  <c r="B4" i="1"/>
  <c r="E5" i="1" l="1"/>
  <c r="F5" i="1" s="1"/>
  <c r="B16" i="1"/>
  <c r="D16" i="1" s="1"/>
  <c r="E16" i="1" s="1"/>
  <c r="E6" i="1"/>
  <c r="F6" i="1" s="1"/>
  <c r="B17" i="1"/>
  <c r="D17" i="1" s="1"/>
  <c r="E17" i="1" s="1"/>
  <c r="B18" i="1"/>
  <c r="D15" i="1"/>
  <c r="E15" i="1" s="1"/>
  <c r="F4" i="1"/>
  <c r="E7" i="1"/>
  <c r="F7" i="1" s="1"/>
  <c r="D18" i="1"/>
  <c r="E18" i="1" s="1"/>
  <c r="B8" i="1"/>
  <c r="B19" i="1"/>
  <c r="D19" i="1" s="1"/>
  <c r="E19" i="1" s="1"/>
  <c r="B10" i="1"/>
  <c r="B5" i="1"/>
  <c r="B6" i="1" s="1"/>
  <c r="M2" i="2"/>
</calcChain>
</file>

<file path=xl/sharedStrings.xml><?xml version="1.0" encoding="utf-8"?>
<sst xmlns="http://schemas.openxmlformats.org/spreadsheetml/2006/main" count="570" uniqueCount="63">
  <si>
    <t>Reporte de ventas · enero–junio 2026</t>
  </si>
  <si>
    <t>Todas las cifras se calculan con fórmulas sobre la hoja Datos.</t>
  </si>
  <si>
    <t>Indicador</t>
  </si>
  <si>
    <t>Valor</t>
  </si>
  <si>
    <t>Región</t>
  </si>
  <si>
    <t>Ingreso</t>
  </si>
  <si>
    <t>Participación</t>
  </si>
  <si>
    <t>Ventas Online</t>
  </si>
  <si>
    <t>Ingreso total</t>
  </si>
  <si>
    <t>Norte</t>
  </si>
  <si>
    <t>Margen total</t>
  </si>
  <si>
    <t>Sur</t>
  </si>
  <si>
    <t>Margen %</t>
  </si>
  <si>
    <t>Este</t>
  </si>
  <si>
    <t>N° de ventas</t>
  </si>
  <si>
    <t>Oeste</t>
  </si>
  <si>
    <t>Ticket promedio</t>
  </si>
  <si>
    <t>Venta máxima</t>
  </si>
  <si>
    <t>Ventas grandes (≥ 1000)</t>
  </si>
  <si>
    <t>Vendedor</t>
  </si>
  <si>
    <t>Meta</t>
  </si>
  <si>
    <t>Cumplimiento</t>
  </si>
  <si>
    <t>Estado</t>
  </si>
  <si>
    <t>Ana Torres</t>
  </si>
  <si>
    <t>Luis Pérez</t>
  </si>
  <si>
    <t>María Gómez</t>
  </si>
  <si>
    <t>Carlos Ruiz</t>
  </si>
  <si>
    <t>Sofía Díaz</t>
  </si>
  <si>
    <t>Jorge Medina</t>
  </si>
  <si>
    <t>Fecha</t>
  </si>
  <si>
    <t>Canal</t>
  </si>
  <si>
    <t>Producto</t>
  </si>
  <si>
    <t>Cantidad</t>
  </si>
  <si>
    <t>Precio</t>
  </si>
  <si>
    <t>Categoría</t>
  </si>
  <si>
    <t>Costo</t>
  </si>
  <si>
    <t>Total</t>
  </si>
  <si>
    <t>Margen</t>
  </si>
  <si>
    <t>Mes</t>
  </si>
  <si>
    <t>Tamaño</t>
  </si>
  <si>
    <t>Tienda</t>
  </si>
  <si>
    <t>Monitor 27</t>
  </si>
  <si>
    <t>Online</t>
  </si>
  <si>
    <t>Teclado mecánico</t>
  </si>
  <si>
    <t>Audífonos BT</t>
  </si>
  <si>
    <t>Silla ergonómica</t>
  </si>
  <si>
    <t>Webcam HD</t>
  </si>
  <si>
    <t>Impresora láser</t>
  </si>
  <si>
    <t>Tablet 10</t>
  </si>
  <si>
    <t>Mouse inalámbrico</t>
  </si>
  <si>
    <t>Escritorio ajustable</t>
  </si>
  <si>
    <t>Laptop Pro 14</t>
  </si>
  <si>
    <t>Electrónica</t>
  </si>
  <si>
    <t>Accesorios</t>
  </si>
  <si>
    <t>Oficina</t>
  </si>
  <si>
    <t>Tareas para practicar (aprender haciendo)</t>
  </si>
  <si>
    <t>1. En Datos, convierte la columna Mes en nombre del mes con =TEXTO(A2;"mmmm").</t>
  </si>
  <si>
    <t>2. Crea una tabla dinámica (Insertar → Tabla dinámica) con Producto en filas, Canal en columnas y Total en valores.</t>
  </si>
  <si>
    <t>3. Agrega una segmentación por Región a esa tabla dinámica.</t>
  </si>
  <si>
    <t>4. En Resumen, calcula el ingreso de 'Laptop Pro 14' en el Norte con SUMAR.SI.CONJUNTO.</t>
  </si>
  <si>
    <t>5. Usa BUSCARX para traer la región de cada vendedor en la hoja Datos.</t>
  </si>
  <si>
    <t>6. Crea un gráfico de líneas del ingreso por mes.</t>
  </si>
  <si>
    <t>7. Guarda, haz commit y push a GitHub: git add . &amp;&amp; git commit -m "Excel: tabla dinámica y gráficos" &amp;&amp; git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</si>
</sst>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1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color rgb="FF11A64B"/>
      </font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Ingreso por región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Resumen!$E$3</c:f>
              <c:strCache>
                <c:ptCount val="1"/>
                <c:pt idx="0">
                  <c:v>Ingreso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Resumen!$D$4:$D$7</c:f>
              <c:strCache>
                <c:ptCount val="4"/>
                <c:pt idx="0">
                  <c:v>Norte</c:v>
                </c:pt>
                <c:pt idx="1">
                  <c:v>Sur</c:v>
                </c:pt>
                <c:pt idx="2">
                  <c:v>Este</c:v>
                </c:pt>
                <c:pt idx="3">
                  <c:v>Oeste</c:v>
                </c:pt>
              </c:strCache>
            </c:strRef>
          </c:cat>
          <c:val>
            <c:numRef>
              <c:f>Resumen!$E$4:$E$7</c:f>
              <c:numCache>
                <c:formatCode>#,##0</c:formatCode>
                <c:ptCount val="4"/>
                <c:pt idx="0">
                  <c:v>32580</c:v>
                </c:pt>
                <c:pt idx="1">
                  <c:v>27175</c:v>
                </c:pt>
                <c:pt idx="2">
                  <c:v>10510</c:v>
                </c:pt>
                <c:pt idx="3">
                  <c:v>7090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6-484B-976C-82F0B0F4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Ventas" displayName="tVentas" ref="A1:M121">
  <autoFilter ref="A1:M121" xr:uid="{00000000-0009-0000-0100-000001000000}"/>
  <tableColumns count="13">
    <tableColumn id="1" xr3:uid="{00000000-0010-0000-0000-000001000000}" name="Fecha"/>
    <tableColumn id="2" xr3:uid="{00000000-0010-0000-0000-000002000000}" name="Región"/>
    <tableColumn id="3" xr3:uid="{00000000-0010-0000-0000-000003000000}" name="Canal"/>
    <tableColumn id="4" xr3:uid="{00000000-0010-0000-0000-000004000000}" name="Vendedor"/>
    <tableColumn id="5" xr3:uid="{00000000-0010-0000-0000-000005000000}" name="Producto"/>
    <tableColumn id="6" xr3:uid="{00000000-0010-0000-0000-000006000000}" name="Cantidad"/>
    <tableColumn id="7" xr3:uid="{00000000-0010-0000-0000-000007000000}" name="Precio"/>
    <tableColumn id="8" xr3:uid="{00000000-0010-0000-0000-000008000000}" name="Categoría"/>
    <tableColumn id="9" xr3:uid="{00000000-0010-0000-0000-000009000000}" name="Costo"/>
    <tableColumn id="10" xr3:uid="{00000000-0010-0000-0000-00000A000000}" name="Total"/>
    <tableColumn id="11" xr3:uid="{00000000-0010-0000-0000-00000B000000}" name="Margen"/>
    <tableColumn id="12" xr3:uid="{00000000-0010-0000-0000-00000C000000}" name="Mes"/>
    <tableColumn id="13" xr3:uid="{00000000-0010-0000-0000-00000D000000}" name="Tamañ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roductos" displayName="tProductos" ref="A1:D11">
  <autoFilter ref="A1:D11" xr:uid="{00000000-0009-0000-0100-000002000000}"/>
  <tableColumns count="4">
    <tableColumn id="1" xr3:uid="{00000000-0010-0000-0100-000001000000}" name="Producto"/>
    <tableColumn id="2" xr3:uid="{00000000-0010-0000-0100-000002000000}" name="Categoría"/>
    <tableColumn id="3" xr3:uid="{00000000-0010-0000-0100-000003000000}" name="Precio"/>
    <tableColumn id="4" xr3:uid="{00000000-0010-0000-0100-000004000000}" name="Cos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Vendedores" displayName="tVendedores" ref="A1:C7">
  <autoFilter ref="A1:C7" xr:uid="{00000000-0009-0000-0100-000003000000}"/>
  <tableColumns count="3">
    <tableColumn id="1" xr3:uid="{00000000-0010-0000-0200-000001000000}" name="Vendedor"/>
    <tableColumn id="2" xr3:uid="{00000000-0010-0000-0200-000002000000}" name="Región"/>
    <tableColumn id="3" xr3:uid="{00000000-0010-0000-0200-000003000000}" name="M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cols>
    <col min="1" max="1" width="26" customWidth="1"/>
    <col min="2" max="2" width="14" customWidth="1"/>
    <col min="3" max="3" width="10" customWidth="1"/>
    <col min="4" max="4" width="14" customWidth="1"/>
    <col min="5" max="5" width="12" customWidth="1"/>
    <col min="6" max="7" width="13" customWidth="1"/>
  </cols>
  <sheetData>
    <row r="1" spans="1:7" ht="18.75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t="s">
        <v>1</v>
      </c>
    </row>
    <row r="3" spans="1:7" x14ac:dyDescent="0.25">
      <c r="A3" s="3" t="s">
        <v>2</v>
      </c>
      <c r="B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t="s">
        <v>8</v>
      </c>
      <c r="B4" s="4">
        <f>SUM(Datos!J2:J121)</f>
        <v>77355</v>
      </c>
      <c r="D4" t="s">
        <v>9</v>
      </c>
      <c r="E4" s="5">
        <f>SUMIF(Datos!B2:B121,D4,Datos!J2:J121)</f>
        <v>32580</v>
      </c>
      <c r="F4" s="6">
        <f>E4/$B$4</f>
        <v>0.42117510180337403</v>
      </c>
      <c r="G4">
        <f>COUNTIFS(Datos!B2:B121,D4,Datos!C2:C121,"Online")</f>
        <v>21</v>
      </c>
    </row>
    <row r="5" spans="1:7" x14ac:dyDescent="0.25">
      <c r="A5" t="s">
        <v>10</v>
      </c>
      <c r="B5" s="4">
        <f>SUM(Datos!K2:K121)</f>
        <v>27772</v>
      </c>
      <c r="D5" t="s">
        <v>11</v>
      </c>
      <c r="E5" s="5">
        <f>SUMIF(Datos!B2:B121,D5,Datos!J2:J121)</f>
        <v>27175</v>
      </c>
      <c r="F5" s="6">
        <f>E5/$B$4</f>
        <v>0.35130243681727102</v>
      </c>
      <c r="G5">
        <f>COUNTIFS(Datos!B2:B121,D5,Datos!C2:C121,"Online")</f>
        <v>18</v>
      </c>
    </row>
    <row r="6" spans="1:7" x14ac:dyDescent="0.25">
      <c r="A6" t="s">
        <v>12</v>
      </c>
      <c r="B6" s="6">
        <f>B5/B4</f>
        <v>0.35902010212655938</v>
      </c>
      <c r="D6" t="s">
        <v>13</v>
      </c>
      <c r="E6" s="5">
        <f>SUMIF(Datos!B2:B121,D6,Datos!J2:J121)</f>
        <v>10510</v>
      </c>
      <c r="F6" s="6">
        <f>E6/$B$4</f>
        <v>0.13586710619869433</v>
      </c>
      <c r="G6">
        <f>COUNTIFS(Datos!B2:B121,D6,Datos!C2:C121,"Online")</f>
        <v>6</v>
      </c>
    </row>
    <row r="7" spans="1:7" x14ac:dyDescent="0.25">
      <c r="A7" t="s">
        <v>14</v>
      </c>
      <c r="B7">
        <f>COUNTA(Datos!A2:A121)</f>
        <v>120</v>
      </c>
      <c r="D7" t="s">
        <v>15</v>
      </c>
      <c r="E7" s="5">
        <f>SUMIF(Datos!B2:B121,D7,Datos!J2:J121)</f>
        <v>7090</v>
      </c>
      <c r="F7" s="6">
        <f>E7/$B$4</f>
        <v>9.1655355180660592E-2</v>
      </c>
      <c r="G7">
        <f>COUNTIFS(Datos!B2:B121,D7,Datos!C2:C121,"Online")</f>
        <v>4</v>
      </c>
    </row>
    <row r="8" spans="1:7" x14ac:dyDescent="0.25">
      <c r="A8" t="s">
        <v>16</v>
      </c>
      <c r="B8" s="4">
        <f>AVERAGE(Datos!J2:J121)</f>
        <v>644.625</v>
      </c>
    </row>
    <row r="9" spans="1:7" x14ac:dyDescent="0.25">
      <c r="A9" t="s">
        <v>17</v>
      </c>
      <c r="B9" s="4">
        <f>MAX(Datos!J2:J121)</f>
        <v>2400</v>
      </c>
    </row>
    <row r="10" spans="1:7" x14ac:dyDescent="0.25">
      <c r="A10" t="s">
        <v>18</v>
      </c>
      <c r="B10">
        <f>COUNTIF(Datos!J2:J121,"&gt;=1000")</f>
        <v>27</v>
      </c>
    </row>
    <row r="13" spans="1:7" x14ac:dyDescent="0.25">
      <c r="A13" s="3" t="s">
        <v>19</v>
      </c>
      <c r="B13" s="3" t="s">
        <v>5</v>
      </c>
      <c r="C13" s="3" t="s">
        <v>20</v>
      </c>
      <c r="D13" s="3" t="s">
        <v>21</v>
      </c>
      <c r="E13" s="3" t="s">
        <v>22</v>
      </c>
    </row>
    <row r="14" spans="1:7" x14ac:dyDescent="0.25">
      <c r="A14" t="s">
        <v>23</v>
      </c>
      <c r="B14" s="5">
        <f>SUMIFS(Datos!J2:J121,Datos!D2:D121,A14)</f>
        <v>8660</v>
      </c>
      <c r="C14" s="5">
        <f>VLOOKUP(A14,Vendedores!$A$2:$C$7,3,FALSE)</f>
        <v>22000</v>
      </c>
      <c r="D14" s="6">
        <f t="shared" ref="D14:D19" si="0">IFERROR(B14/C14,0)</f>
        <v>0.39363636363636362</v>
      </c>
      <c r="E14" t="str">
        <f t="shared" ref="E14:E19" si="1">IF(D14&gt;=1,"Cumplió","Por debajo")</f>
        <v>Por debajo</v>
      </c>
    </row>
    <row r="15" spans="1:7" x14ac:dyDescent="0.25">
      <c r="A15" t="s">
        <v>24</v>
      </c>
      <c r="B15" s="5">
        <f>SUMIFS(Datos!J2:J121,Datos!D2:D121,A15)</f>
        <v>23920</v>
      </c>
      <c r="C15" s="5">
        <f>VLOOKUP(A15,Vendedores!$A$2:$C$7,3,FALSE)</f>
        <v>18000</v>
      </c>
      <c r="D15" s="6">
        <f t="shared" si="0"/>
        <v>1.3288888888888888</v>
      </c>
      <c r="E15" t="str">
        <f t="shared" si="1"/>
        <v>Cumplió</v>
      </c>
    </row>
    <row r="16" spans="1:7" x14ac:dyDescent="0.25">
      <c r="A16" t="s">
        <v>25</v>
      </c>
      <c r="B16" s="5">
        <f>SUMIFS(Datos!J2:J121,Datos!D2:D121,A16)</f>
        <v>11400</v>
      </c>
      <c r="C16" s="5">
        <f>VLOOKUP(A16,Vendedores!$A$2:$C$7,3,FALSE)</f>
        <v>20000</v>
      </c>
      <c r="D16" s="6">
        <f t="shared" si="0"/>
        <v>0.56999999999999995</v>
      </c>
      <c r="E16" t="str">
        <f t="shared" si="1"/>
        <v>Por debajo</v>
      </c>
    </row>
    <row r="17" spans="1:5" x14ac:dyDescent="0.25">
      <c r="A17" t="s">
        <v>26</v>
      </c>
      <c r="B17" s="5">
        <f>SUMIFS(Datos!J2:J121,Datos!D2:D121,A17)</f>
        <v>10510</v>
      </c>
      <c r="C17" s="5">
        <f>VLOOKUP(A17,Vendedores!$A$2:$C$7,3,FALSE)</f>
        <v>20000</v>
      </c>
      <c r="D17" s="6">
        <f t="shared" si="0"/>
        <v>0.52549999999999997</v>
      </c>
      <c r="E17" t="str">
        <f t="shared" si="1"/>
        <v>Por debajo</v>
      </c>
    </row>
    <row r="18" spans="1:5" x14ac:dyDescent="0.25">
      <c r="A18" t="s">
        <v>27</v>
      </c>
      <c r="B18" s="5">
        <f>SUMIFS(Datos!J2:J121,Datos!D2:D121,A18)</f>
        <v>7090</v>
      </c>
      <c r="C18" s="5">
        <f>VLOOKUP(A18,Vendedores!$A$2:$C$7,3,FALSE)</f>
        <v>21000</v>
      </c>
      <c r="D18" s="6">
        <f t="shared" si="0"/>
        <v>0.3376190476190476</v>
      </c>
      <c r="E18" t="str">
        <f t="shared" si="1"/>
        <v>Por debajo</v>
      </c>
    </row>
    <row r="19" spans="1:5" x14ac:dyDescent="0.25">
      <c r="A19" t="s">
        <v>28</v>
      </c>
      <c r="B19" s="5">
        <f>SUMIFS(Datos!J2:J121,Datos!D2:D121,A19)</f>
        <v>15775</v>
      </c>
      <c r="C19" s="5">
        <f>VLOOKUP(A19,Vendedores!$A$2:$C$7,3,FALSE)</f>
        <v>17000</v>
      </c>
      <c r="D19" s="6">
        <f t="shared" si="0"/>
        <v>0.92794117647058827</v>
      </c>
      <c r="E19" t="str">
        <f t="shared" si="1"/>
        <v>Por debajo</v>
      </c>
    </row>
  </sheetData>
  <conditionalFormatting sqref="D14:D19">
    <cfRule type="cellIs" dxfId="2" priority="1" operator="greaterThanOrEqual">
      <formula>1</formula>
    </cfRule>
    <cfRule type="cellIs" dxfId="1" priority="2" operator="lessThan">
      <formula>1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9" customWidth="1"/>
    <col min="4" max="4" width="15" customWidth="1"/>
    <col min="5" max="5" width="20" customWidth="1"/>
    <col min="6" max="7" width="10" customWidth="1"/>
    <col min="8" max="8" width="13" customWidth="1"/>
    <col min="9" max="9" width="9" customWidth="1"/>
    <col min="10" max="11" width="11" customWidth="1"/>
    <col min="12" max="12" width="6" customWidth="1"/>
    <col min="13" max="13" width="10" customWidth="1"/>
  </cols>
  <sheetData>
    <row r="1" spans="1:13" x14ac:dyDescent="0.25">
      <c r="A1" t="s">
        <v>29</v>
      </c>
      <c r="B1" t="s">
        <v>4</v>
      </c>
      <c r="C1" t="s">
        <v>30</v>
      </c>
      <c r="D1" t="s">
        <v>19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5">
      <c r="A2" s="7">
        <v>46023</v>
      </c>
      <c r="B2" t="s">
        <v>9</v>
      </c>
      <c r="C2" t="s">
        <v>40</v>
      </c>
      <c r="D2" t="s">
        <v>24</v>
      </c>
      <c r="E2" t="s">
        <v>41</v>
      </c>
      <c r="F2">
        <v>3</v>
      </c>
      <c r="G2">
        <v>320</v>
      </c>
      <c r="H2" t="str">
        <f>VLOOKUP(E2,Productos!$A$2:$D$11,2,FALSE)</f>
        <v>Electrónica</v>
      </c>
      <c r="I2">
        <f>VLOOKUP(E2,Productos!$A$2:$D$11,4,FALSE)</f>
        <v>210</v>
      </c>
      <c r="J2">
        <f t="shared" ref="J2:J33" si="0">F2*G2</f>
        <v>960</v>
      </c>
      <c r="K2">
        <f t="shared" ref="K2:K33" si="1">F2*(G2-I2)</f>
        <v>330</v>
      </c>
      <c r="L2">
        <f t="shared" ref="L2:L33" si="2">MONTH(A2)</f>
        <v>1</v>
      </c>
      <c r="M2" t="str">
        <f t="shared" ref="M2:M33" si="3">IF(J2&gt;=1000,"Grande",IF(J2&gt;=300,"Mediana","Pequeña"))</f>
        <v>Mediana</v>
      </c>
    </row>
    <row r="3" spans="1:13" x14ac:dyDescent="0.25">
      <c r="A3" s="7">
        <v>46024</v>
      </c>
      <c r="B3" t="s">
        <v>13</v>
      </c>
      <c r="C3" t="s">
        <v>42</v>
      </c>
      <c r="D3" t="s">
        <v>26</v>
      </c>
      <c r="E3" t="s">
        <v>43</v>
      </c>
      <c r="F3">
        <v>1</v>
      </c>
      <c r="G3">
        <v>85</v>
      </c>
      <c r="H3" t="str">
        <f>VLOOKUP(E3,Productos!$A$2:$D$11,2,FALSE)</f>
        <v>Accesorios</v>
      </c>
      <c r="I3">
        <f>VLOOKUP(E3,Productos!$A$2:$D$11,4,FALSE)</f>
        <v>50</v>
      </c>
      <c r="J3">
        <f t="shared" si="0"/>
        <v>85</v>
      </c>
      <c r="K3">
        <f t="shared" si="1"/>
        <v>35</v>
      </c>
      <c r="L3">
        <f t="shared" si="2"/>
        <v>1</v>
      </c>
      <c r="M3" t="str">
        <f t="shared" si="3"/>
        <v>Pequeña</v>
      </c>
    </row>
    <row r="4" spans="1:13" x14ac:dyDescent="0.25">
      <c r="A4" s="7">
        <v>46024</v>
      </c>
      <c r="B4" t="s">
        <v>11</v>
      </c>
      <c r="C4" t="s">
        <v>40</v>
      </c>
      <c r="D4" t="s">
        <v>25</v>
      </c>
      <c r="E4" t="s">
        <v>44</v>
      </c>
      <c r="F4">
        <v>6</v>
      </c>
      <c r="G4">
        <v>95</v>
      </c>
      <c r="H4" t="str">
        <f>VLOOKUP(E4,Productos!$A$2:$D$11,2,FALSE)</f>
        <v>Electrónica</v>
      </c>
      <c r="I4">
        <f>VLOOKUP(E4,Productos!$A$2:$D$11,4,FALSE)</f>
        <v>55</v>
      </c>
      <c r="J4">
        <f t="shared" si="0"/>
        <v>570</v>
      </c>
      <c r="K4">
        <f t="shared" si="1"/>
        <v>240</v>
      </c>
      <c r="L4">
        <f t="shared" si="2"/>
        <v>1</v>
      </c>
      <c r="M4" t="str">
        <f t="shared" si="3"/>
        <v>Mediana</v>
      </c>
    </row>
    <row r="5" spans="1:13" x14ac:dyDescent="0.25">
      <c r="A5" s="7">
        <v>46027</v>
      </c>
      <c r="B5" t="s">
        <v>9</v>
      </c>
      <c r="C5" t="s">
        <v>42</v>
      </c>
      <c r="D5" t="s">
        <v>24</v>
      </c>
      <c r="E5" t="s">
        <v>45</v>
      </c>
      <c r="F5">
        <v>5</v>
      </c>
      <c r="G5">
        <v>260</v>
      </c>
      <c r="H5" t="str">
        <f>VLOOKUP(E5,Productos!$A$2:$D$11,2,FALSE)</f>
        <v>Oficina</v>
      </c>
      <c r="I5">
        <f>VLOOKUP(E5,Productos!$A$2:$D$11,4,FALSE)</f>
        <v>150</v>
      </c>
      <c r="J5">
        <f t="shared" si="0"/>
        <v>1300</v>
      </c>
      <c r="K5">
        <f t="shared" si="1"/>
        <v>550</v>
      </c>
      <c r="L5">
        <f t="shared" si="2"/>
        <v>1</v>
      </c>
      <c r="M5" t="str">
        <f t="shared" si="3"/>
        <v>Grande</v>
      </c>
    </row>
    <row r="6" spans="1:13" x14ac:dyDescent="0.25">
      <c r="A6" s="7">
        <v>46028</v>
      </c>
      <c r="B6" t="s">
        <v>9</v>
      </c>
      <c r="C6" t="s">
        <v>40</v>
      </c>
      <c r="D6" t="s">
        <v>24</v>
      </c>
      <c r="E6" t="s">
        <v>44</v>
      </c>
      <c r="F6">
        <v>8</v>
      </c>
      <c r="G6">
        <v>95</v>
      </c>
      <c r="H6" t="str">
        <f>VLOOKUP(E6,Productos!$A$2:$D$11,2,FALSE)</f>
        <v>Electrónica</v>
      </c>
      <c r="I6">
        <f>VLOOKUP(E6,Productos!$A$2:$D$11,4,FALSE)</f>
        <v>55</v>
      </c>
      <c r="J6">
        <f t="shared" si="0"/>
        <v>760</v>
      </c>
      <c r="K6">
        <f t="shared" si="1"/>
        <v>320</v>
      </c>
      <c r="L6">
        <f t="shared" si="2"/>
        <v>1</v>
      </c>
      <c r="M6" t="str">
        <f t="shared" si="3"/>
        <v>Mediana</v>
      </c>
    </row>
    <row r="7" spans="1:13" x14ac:dyDescent="0.25">
      <c r="A7" s="7">
        <v>46029</v>
      </c>
      <c r="B7" t="s">
        <v>15</v>
      </c>
      <c r="C7" t="s">
        <v>42</v>
      </c>
      <c r="D7" t="s">
        <v>27</v>
      </c>
      <c r="E7" t="s">
        <v>44</v>
      </c>
      <c r="F7">
        <v>3</v>
      </c>
      <c r="G7">
        <v>95</v>
      </c>
      <c r="H7" t="str">
        <f>VLOOKUP(E7,Productos!$A$2:$D$11,2,FALSE)</f>
        <v>Electrónica</v>
      </c>
      <c r="I7">
        <f>VLOOKUP(E7,Productos!$A$2:$D$11,4,FALSE)</f>
        <v>55</v>
      </c>
      <c r="J7">
        <f t="shared" si="0"/>
        <v>285</v>
      </c>
      <c r="K7">
        <f t="shared" si="1"/>
        <v>120</v>
      </c>
      <c r="L7">
        <f t="shared" si="2"/>
        <v>1</v>
      </c>
      <c r="M7" t="str">
        <f t="shared" si="3"/>
        <v>Pequeña</v>
      </c>
    </row>
    <row r="8" spans="1:13" x14ac:dyDescent="0.25">
      <c r="A8" s="7">
        <v>46029</v>
      </c>
      <c r="B8" t="s">
        <v>15</v>
      </c>
      <c r="C8" t="s">
        <v>42</v>
      </c>
      <c r="D8" t="s">
        <v>27</v>
      </c>
      <c r="E8" t="s">
        <v>46</v>
      </c>
      <c r="F8">
        <v>5</v>
      </c>
      <c r="G8">
        <v>60</v>
      </c>
      <c r="H8" t="str">
        <f>VLOOKUP(E8,Productos!$A$2:$D$11,2,FALSE)</f>
        <v>Accesorios</v>
      </c>
      <c r="I8">
        <f>VLOOKUP(E8,Productos!$A$2:$D$11,4,FALSE)</f>
        <v>32</v>
      </c>
      <c r="J8">
        <f t="shared" si="0"/>
        <v>300</v>
      </c>
      <c r="K8">
        <f t="shared" si="1"/>
        <v>140</v>
      </c>
      <c r="L8">
        <f t="shared" si="2"/>
        <v>1</v>
      </c>
      <c r="M8" t="str">
        <f t="shared" si="3"/>
        <v>Mediana</v>
      </c>
    </row>
    <row r="9" spans="1:13" x14ac:dyDescent="0.25">
      <c r="A9" s="7">
        <v>46032</v>
      </c>
      <c r="B9" t="s">
        <v>11</v>
      </c>
      <c r="C9" t="s">
        <v>42</v>
      </c>
      <c r="D9" t="s">
        <v>25</v>
      </c>
      <c r="E9" t="s">
        <v>46</v>
      </c>
      <c r="F9">
        <v>5</v>
      </c>
      <c r="G9">
        <v>60</v>
      </c>
      <c r="H9" t="str">
        <f>VLOOKUP(E9,Productos!$A$2:$D$11,2,FALSE)</f>
        <v>Accesorios</v>
      </c>
      <c r="I9">
        <f>VLOOKUP(E9,Productos!$A$2:$D$11,4,FALSE)</f>
        <v>32</v>
      </c>
      <c r="J9">
        <f t="shared" si="0"/>
        <v>300</v>
      </c>
      <c r="K9">
        <f t="shared" si="1"/>
        <v>140</v>
      </c>
      <c r="L9">
        <f t="shared" si="2"/>
        <v>1</v>
      </c>
      <c r="M9" t="str">
        <f t="shared" si="3"/>
        <v>Mediana</v>
      </c>
    </row>
    <row r="10" spans="1:13" x14ac:dyDescent="0.25">
      <c r="A10" s="7">
        <v>46035</v>
      </c>
      <c r="B10" t="s">
        <v>9</v>
      </c>
      <c r="C10" t="s">
        <v>42</v>
      </c>
      <c r="D10" t="s">
        <v>24</v>
      </c>
      <c r="E10" t="s">
        <v>47</v>
      </c>
      <c r="F10">
        <v>5</v>
      </c>
      <c r="G10">
        <v>210</v>
      </c>
      <c r="H10" t="str">
        <f>VLOOKUP(E10,Productos!$A$2:$D$11,2,FALSE)</f>
        <v>Oficina</v>
      </c>
      <c r="I10">
        <f>VLOOKUP(E10,Productos!$A$2:$D$11,4,FALSE)</f>
        <v>140</v>
      </c>
      <c r="J10">
        <f t="shared" si="0"/>
        <v>1050</v>
      </c>
      <c r="K10">
        <f t="shared" si="1"/>
        <v>350</v>
      </c>
      <c r="L10">
        <f t="shared" si="2"/>
        <v>1</v>
      </c>
      <c r="M10" t="str">
        <f t="shared" si="3"/>
        <v>Grande</v>
      </c>
    </row>
    <row r="11" spans="1:13" x14ac:dyDescent="0.25">
      <c r="A11" s="7">
        <v>46036</v>
      </c>
      <c r="B11" t="s">
        <v>9</v>
      </c>
      <c r="C11" t="s">
        <v>40</v>
      </c>
      <c r="D11" t="s">
        <v>24</v>
      </c>
      <c r="E11" t="s">
        <v>48</v>
      </c>
      <c r="F11">
        <v>2</v>
      </c>
      <c r="G11">
        <v>380</v>
      </c>
      <c r="H11" t="str">
        <f>VLOOKUP(E11,Productos!$A$2:$D$11,2,FALSE)</f>
        <v>Electrónica</v>
      </c>
      <c r="I11">
        <f>VLOOKUP(E11,Productos!$A$2:$D$11,4,FALSE)</f>
        <v>270</v>
      </c>
      <c r="J11">
        <f t="shared" si="0"/>
        <v>760</v>
      </c>
      <c r="K11">
        <f t="shared" si="1"/>
        <v>220</v>
      </c>
      <c r="L11">
        <f t="shared" si="2"/>
        <v>1</v>
      </c>
      <c r="M11" t="str">
        <f t="shared" si="3"/>
        <v>Mediana</v>
      </c>
    </row>
    <row r="12" spans="1:13" x14ac:dyDescent="0.25">
      <c r="A12" s="7">
        <v>46041</v>
      </c>
      <c r="B12" t="s">
        <v>11</v>
      </c>
      <c r="C12" t="s">
        <v>42</v>
      </c>
      <c r="D12" t="s">
        <v>28</v>
      </c>
      <c r="E12" t="s">
        <v>49</v>
      </c>
      <c r="F12">
        <v>8</v>
      </c>
      <c r="G12">
        <v>25</v>
      </c>
      <c r="H12" t="str">
        <f>VLOOKUP(E12,Productos!$A$2:$D$11,2,FALSE)</f>
        <v>Accesorios</v>
      </c>
      <c r="I12">
        <f>VLOOKUP(E12,Productos!$A$2:$D$11,4,FALSE)</f>
        <v>12</v>
      </c>
      <c r="J12">
        <f t="shared" si="0"/>
        <v>200</v>
      </c>
      <c r="K12">
        <f t="shared" si="1"/>
        <v>104</v>
      </c>
      <c r="L12">
        <f t="shared" si="2"/>
        <v>1</v>
      </c>
      <c r="M12" t="str">
        <f t="shared" si="3"/>
        <v>Pequeña</v>
      </c>
    </row>
    <row r="13" spans="1:13" x14ac:dyDescent="0.25">
      <c r="A13" s="7">
        <v>46044</v>
      </c>
      <c r="B13" t="s">
        <v>9</v>
      </c>
      <c r="C13" t="s">
        <v>42</v>
      </c>
      <c r="D13" t="s">
        <v>24</v>
      </c>
      <c r="E13" t="s">
        <v>49</v>
      </c>
      <c r="F13">
        <v>4</v>
      </c>
      <c r="G13">
        <v>25</v>
      </c>
      <c r="H13" t="str">
        <f>VLOOKUP(E13,Productos!$A$2:$D$11,2,FALSE)</f>
        <v>Accesorios</v>
      </c>
      <c r="I13">
        <f>VLOOKUP(E13,Productos!$A$2:$D$11,4,FALSE)</f>
        <v>12</v>
      </c>
      <c r="J13">
        <f t="shared" si="0"/>
        <v>100</v>
      </c>
      <c r="K13">
        <f t="shared" si="1"/>
        <v>52</v>
      </c>
      <c r="L13">
        <f t="shared" si="2"/>
        <v>1</v>
      </c>
      <c r="M13" t="str">
        <f t="shared" si="3"/>
        <v>Pequeña</v>
      </c>
    </row>
    <row r="14" spans="1:13" x14ac:dyDescent="0.25">
      <c r="A14" s="7">
        <v>46044</v>
      </c>
      <c r="B14" t="s">
        <v>13</v>
      </c>
      <c r="C14" t="s">
        <v>40</v>
      </c>
      <c r="D14" t="s">
        <v>26</v>
      </c>
      <c r="E14" t="s">
        <v>43</v>
      </c>
      <c r="F14">
        <v>5</v>
      </c>
      <c r="G14">
        <v>85</v>
      </c>
      <c r="H14" t="str">
        <f>VLOOKUP(E14,Productos!$A$2:$D$11,2,FALSE)</f>
        <v>Accesorios</v>
      </c>
      <c r="I14">
        <f>VLOOKUP(E14,Productos!$A$2:$D$11,4,FALSE)</f>
        <v>50</v>
      </c>
      <c r="J14">
        <f t="shared" si="0"/>
        <v>425</v>
      </c>
      <c r="K14">
        <f t="shared" si="1"/>
        <v>175</v>
      </c>
      <c r="L14">
        <f t="shared" si="2"/>
        <v>1</v>
      </c>
      <c r="M14" t="str">
        <f t="shared" si="3"/>
        <v>Mediana</v>
      </c>
    </row>
    <row r="15" spans="1:13" x14ac:dyDescent="0.25">
      <c r="A15" s="7">
        <v>46044</v>
      </c>
      <c r="B15" t="s">
        <v>13</v>
      </c>
      <c r="C15" t="s">
        <v>42</v>
      </c>
      <c r="D15" t="s">
        <v>26</v>
      </c>
      <c r="E15" t="s">
        <v>47</v>
      </c>
      <c r="F15">
        <v>8</v>
      </c>
      <c r="G15">
        <v>210</v>
      </c>
      <c r="H15" t="str">
        <f>VLOOKUP(E15,Productos!$A$2:$D$11,2,FALSE)</f>
        <v>Oficina</v>
      </c>
      <c r="I15">
        <f>VLOOKUP(E15,Productos!$A$2:$D$11,4,FALSE)</f>
        <v>140</v>
      </c>
      <c r="J15">
        <f t="shared" si="0"/>
        <v>1680</v>
      </c>
      <c r="K15">
        <f t="shared" si="1"/>
        <v>560</v>
      </c>
      <c r="L15">
        <f t="shared" si="2"/>
        <v>1</v>
      </c>
      <c r="M15" t="str">
        <f t="shared" si="3"/>
        <v>Grande</v>
      </c>
    </row>
    <row r="16" spans="1:13" x14ac:dyDescent="0.25">
      <c r="A16" s="7">
        <v>46047</v>
      </c>
      <c r="B16" t="s">
        <v>9</v>
      </c>
      <c r="C16" t="s">
        <v>42</v>
      </c>
      <c r="D16" t="s">
        <v>24</v>
      </c>
      <c r="E16" t="s">
        <v>50</v>
      </c>
      <c r="F16">
        <v>2</v>
      </c>
      <c r="G16">
        <v>480</v>
      </c>
      <c r="H16" t="str">
        <f>VLOOKUP(E16,Productos!$A$2:$D$11,2,FALSE)</f>
        <v>Oficina</v>
      </c>
      <c r="I16">
        <f>VLOOKUP(E16,Productos!$A$2:$D$11,4,FALSE)</f>
        <v>300</v>
      </c>
      <c r="J16">
        <f t="shared" si="0"/>
        <v>960</v>
      </c>
      <c r="K16">
        <f t="shared" si="1"/>
        <v>360</v>
      </c>
      <c r="L16">
        <f t="shared" si="2"/>
        <v>1</v>
      </c>
      <c r="M16" t="str">
        <f t="shared" si="3"/>
        <v>Mediana</v>
      </c>
    </row>
    <row r="17" spans="1:13" x14ac:dyDescent="0.25">
      <c r="A17" s="7">
        <v>46048</v>
      </c>
      <c r="B17" t="s">
        <v>11</v>
      </c>
      <c r="C17" t="s">
        <v>42</v>
      </c>
      <c r="D17" t="s">
        <v>28</v>
      </c>
      <c r="E17" t="s">
        <v>48</v>
      </c>
      <c r="F17">
        <v>3</v>
      </c>
      <c r="G17">
        <v>380</v>
      </c>
      <c r="H17" t="str">
        <f>VLOOKUP(E17,Productos!$A$2:$D$11,2,FALSE)</f>
        <v>Electrónica</v>
      </c>
      <c r="I17">
        <f>VLOOKUP(E17,Productos!$A$2:$D$11,4,FALSE)</f>
        <v>270</v>
      </c>
      <c r="J17">
        <f t="shared" si="0"/>
        <v>1140</v>
      </c>
      <c r="K17">
        <f t="shared" si="1"/>
        <v>330</v>
      </c>
      <c r="L17">
        <f t="shared" si="2"/>
        <v>1</v>
      </c>
      <c r="M17" t="str">
        <f t="shared" si="3"/>
        <v>Grande</v>
      </c>
    </row>
    <row r="18" spans="1:13" x14ac:dyDescent="0.25">
      <c r="A18" s="7">
        <v>46049</v>
      </c>
      <c r="B18" t="s">
        <v>11</v>
      </c>
      <c r="C18" t="s">
        <v>40</v>
      </c>
      <c r="D18" t="s">
        <v>28</v>
      </c>
      <c r="E18" t="s">
        <v>51</v>
      </c>
      <c r="F18">
        <v>2</v>
      </c>
      <c r="G18">
        <v>1200</v>
      </c>
      <c r="H18" t="str">
        <f>VLOOKUP(E18,Productos!$A$2:$D$11,2,FALSE)</f>
        <v>Electrónica</v>
      </c>
      <c r="I18">
        <f>VLOOKUP(E18,Productos!$A$2:$D$11,4,FALSE)</f>
        <v>900</v>
      </c>
      <c r="J18">
        <f t="shared" si="0"/>
        <v>2400</v>
      </c>
      <c r="K18">
        <f t="shared" si="1"/>
        <v>600</v>
      </c>
      <c r="L18">
        <f t="shared" si="2"/>
        <v>1</v>
      </c>
      <c r="M18" t="str">
        <f t="shared" si="3"/>
        <v>Grande</v>
      </c>
    </row>
    <row r="19" spans="1:13" x14ac:dyDescent="0.25">
      <c r="A19" s="7">
        <v>46049</v>
      </c>
      <c r="B19" t="s">
        <v>11</v>
      </c>
      <c r="C19" t="s">
        <v>42</v>
      </c>
      <c r="D19" t="s">
        <v>28</v>
      </c>
      <c r="E19" t="s">
        <v>45</v>
      </c>
      <c r="F19">
        <v>4</v>
      </c>
      <c r="G19">
        <v>260</v>
      </c>
      <c r="H19" t="str">
        <f>VLOOKUP(E19,Productos!$A$2:$D$11,2,FALSE)</f>
        <v>Oficina</v>
      </c>
      <c r="I19">
        <f>VLOOKUP(E19,Productos!$A$2:$D$11,4,FALSE)</f>
        <v>150</v>
      </c>
      <c r="J19">
        <f t="shared" si="0"/>
        <v>1040</v>
      </c>
      <c r="K19">
        <f t="shared" si="1"/>
        <v>440</v>
      </c>
      <c r="L19">
        <f t="shared" si="2"/>
        <v>1</v>
      </c>
      <c r="M19" t="str">
        <f t="shared" si="3"/>
        <v>Grande</v>
      </c>
    </row>
    <row r="20" spans="1:13" x14ac:dyDescent="0.25">
      <c r="A20" s="7">
        <v>46050</v>
      </c>
      <c r="B20" t="s">
        <v>15</v>
      </c>
      <c r="C20" t="s">
        <v>42</v>
      </c>
      <c r="D20" t="s">
        <v>27</v>
      </c>
      <c r="E20" t="s">
        <v>47</v>
      </c>
      <c r="F20">
        <v>3</v>
      </c>
      <c r="G20">
        <v>210</v>
      </c>
      <c r="H20" t="str">
        <f>VLOOKUP(E20,Productos!$A$2:$D$11,2,FALSE)</f>
        <v>Oficina</v>
      </c>
      <c r="I20">
        <f>VLOOKUP(E20,Productos!$A$2:$D$11,4,FALSE)</f>
        <v>140</v>
      </c>
      <c r="J20">
        <f t="shared" si="0"/>
        <v>630</v>
      </c>
      <c r="K20">
        <f t="shared" si="1"/>
        <v>210</v>
      </c>
      <c r="L20">
        <f t="shared" si="2"/>
        <v>1</v>
      </c>
      <c r="M20" t="str">
        <f t="shared" si="3"/>
        <v>Mediana</v>
      </c>
    </row>
    <row r="21" spans="1:13" x14ac:dyDescent="0.25">
      <c r="A21" s="7">
        <v>46050</v>
      </c>
      <c r="B21" t="s">
        <v>9</v>
      </c>
      <c r="C21" t="s">
        <v>42</v>
      </c>
      <c r="D21" t="s">
        <v>24</v>
      </c>
      <c r="E21" t="s">
        <v>48</v>
      </c>
      <c r="F21">
        <v>3</v>
      </c>
      <c r="G21">
        <v>380</v>
      </c>
      <c r="H21" t="str">
        <f>VLOOKUP(E21,Productos!$A$2:$D$11,2,FALSE)</f>
        <v>Electrónica</v>
      </c>
      <c r="I21">
        <f>VLOOKUP(E21,Productos!$A$2:$D$11,4,FALSE)</f>
        <v>270</v>
      </c>
      <c r="J21">
        <f t="shared" si="0"/>
        <v>1140</v>
      </c>
      <c r="K21">
        <f t="shared" si="1"/>
        <v>330</v>
      </c>
      <c r="L21">
        <f t="shared" si="2"/>
        <v>1</v>
      </c>
      <c r="M21" t="str">
        <f t="shared" si="3"/>
        <v>Grande</v>
      </c>
    </row>
    <row r="22" spans="1:13" x14ac:dyDescent="0.25">
      <c r="A22" s="7">
        <v>46056</v>
      </c>
      <c r="B22" t="s">
        <v>11</v>
      </c>
      <c r="C22" t="s">
        <v>42</v>
      </c>
      <c r="D22" t="s">
        <v>25</v>
      </c>
      <c r="E22" t="s">
        <v>48</v>
      </c>
      <c r="F22">
        <v>3</v>
      </c>
      <c r="G22">
        <v>380</v>
      </c>
      <c r="H22" t="str">
        <f>VLOOKUP(E22,Productos!$A$2:$D$11,2,FALSE)</f>
        <v>Electrónica</v>
      </c>
      <c r="I22">
        <f>VLOOKUP(E22,Productos!$A$2:$D$11,4,FALSE)</f>
        <v>270</v>
      </c>
      <c r="J22">
        <f t="shared" si="0"/>
        <v>1140</v>
      </c>
      <c r="K22">
        <f t="shared" si="1"/>
        <v>330</v>
      </c>
      <c r="L22">
        <f t="shared" si="2"/>
        <v>2</v>
      </c>
      <c r="M22" t="str">
        <f t="shared" si="3"/>
        <v>Grande</v>
      </c>
    </row>
    <row r="23" spans="1:13" x14ac:dyDescent="0.25">
      <c r="A23" s="7">
        <v>46057</v>
      </c>
      <c r="B23" t="s">
        <v>9</v>
      </c>
      <c r="C23" t="s">
        <v>40</v>
      </c>
      <c r="D23" t="s">
        <v>24</v>
      </c>
      <c r="E23" t="s">
        <v>46</v>
      </c>
      <c r="F23">
        <v>8</v>
      </c>
      <c r="G23">
        <v>60</v>
      </c>
      <c r="H23" t="str">
        <f>VLOOKUP(E23,Productos!$A$2:$D$11,2,FALSE)</f>
        <v>Accesorios</v>
      </c>
      <c r="I23">
        <f>VLOOKUP(E23,Productos!$A$2:$D$11,4,FALSE)</f>
        <v>32</v>
      </c>
      <c r="J23">
        <f t="shared" si="0"/>
        <v>480</v>
      </c>
      <c r="K23">
        <f t="shared" si="1"/>
        <v>224</v>
      </c>
      <c r="L23">
        <f t="shared" si="2"/>
        <v>2</v>
      </c>
      <c r="M23" t="str">
        <f t="shared" si="3"/>
        <v>Mediana</v>
      </c>
    </row>
    <row r="24" spans="1:13" x14ac:dyDescent="0.25">
      <c r="A24" s="7">
        <v>46058</v>
      </c>
      <c r="B24" t="s">
        <v>9</v>
      </c>
      <c r="C24" t="s">
        <v>42</v>
      </c>
      <c r="D24" t="s">
        <v>24</v>
      </c>
      <c r="E24" t="s">
        <v>49</v>
      </c>
      <c r="F24">
        <v>8</v>
      </c>
      <c r="G24">
        <v>25</v>
      </c>
      <c r="H24" t="str">
        <f>VLOOKUP(E24,Productos!$A$2:$D$11,2,FALSE)</f>
        <v>Accesorios</v>
      </c>
      <c r="I24">
        <f>VLOOKUP(E24,Productos!$A$2:$D$11,4,FALSE)</f>
        <v>12</v>
      </c>
      <c r="J24">
        <f t="shared" si="0"/>
        <v>200</v>
      </c>
      <c r="K24">
        <f t="shared" si="1"/>
        <v>104</v>
      </c>
      <c r="L24">
        <f t="shared" si="2"/>
        <v>2</v>
      </c>
      <c r="M24" t="str">
        <f t="shared" si="3"/>
        <v>Pequeña</v>
      </c>
    </row>
    <row r="25" spans="1:13" x14ac:dyDescent="0.25">
      <c r="A25" s="7">
        <v>46058</v>
      </c>
      <c r="B25" t="s">
        <v>9</v>
      </c>
      <c r="C25" t="s">
        <v>42</v>
      </c>
      <c r="D25" t="s">
        <v>23</v>
      </c>
      <c r="E25" t="s">
        <v>43</v>
      </c>
      <c r="F25">
        <v>1</v>
      </c>
      <c r="G25">
        <v>85</v>
      </c>
      <c r="H25" t="str">
        <f>VLOOKUP(E25,Productos!$A$2:$D$11,2,FALSE)</f>
        <v>Accesorios</v>
      </c>
      <c r="I25">
        <f>VLOOKUP(E25,Productos!$A$2:$D$11,4,FALSE)</f>
        <v>50</v>
      </c>
      <c r="J25">
        <f t="shared" si="0"/>
        <v>85</v>
      </c>
      <c r="K25">
        <f t="shared" si="1"/>
        <v>35</v>
      </c>
      <c r="L25">
        <f t="shared" si="2"/>
        <v>2</v>
      </c>
      <c r="M25" t="str">
        <f t="shared" si="3"/>
        <v>Pequeña</v>
      </c>
    </row>
    <row r="26" spans="1:13" x14ac:dyDescent="0.25">
      <c r="A26" s="7">
        <v>46060</v>
      </c>
      <c r="B26" t="s">
        <v>11</v>
      </c>
      <c r="C26" t="s">
        <v>42</v>
      </c>
      <c r="D26" t="s">
        <v>25</v>
      </c>
      <c r="E26" t="s">
        <v>49</v>
      </c>
      <c r="F26">
        <v>1</v>
      </c>
      <c r="G26">
        <v>25</v>
      </c>
      <c r="H26" t="str">
        <f>VLOOKUP(E26,Productos!$A$2:$D$11,2,FALSE)</f>
        <v>Accesorios</v>
      </c>
      <c r="I26">
        <f>VLOOKUP(E26,Productos!$A$2:$D$11,4,FALSE)</f>
        <v>12</v>
      </c>
      <c r="J26">
        <f t="shared" si="0"/>
        <v>25</v>
      </c>
      <c r="K26">
        <f t="shared" si="1"/>
        <v>13</v>
      </c>
      <c r="L26">
        <f t="shared" si="2"/>
        <v>2</v>
      </c>
      <c r="M26" t="str">
        <f t="shared" si="3"/>
        <v>Pequeña</v>
      </c>
    </row>
    <row r="27" spans="1:13" x14ac:dyDescent="0.25">
      <c r="A27" s="7">
        <v>46060</v>
      </c>
      <c r="B27" t="s">
        <v>9</v>
      </c>
      <c r="C27" t="s">
        <v>42</v>
      </c>
      <c r="D27" t="s">
        <v>24</v>
      </c>
      <c r="E27" t="s">
        <v>47</v>
      </c>
      <c r="F27">
        <v>6</v>
      </c>
      <c r="G27">
        <v>210</v>
      </c>
      <c r="H27" t="str">
        <f>VLOOKUP(E27,Productos!$A$2:$D$11,2,FALSE)</f>
        <v>Oficina</v>
      </c>
      <c r="I27">
        <f>VLOOKUP(E27,Productos!$A$2:$D$11,4,FALSE)</f>
        <v>140</v>
      </c>
      <c r="J27">
        <f t="shared" si="0"/>
        <v>1260</v>
      </c>
      <c r="K27">
        <f t="shared" si="1"/>
        <v>420</v>
      </c>
      <c r="L27">
        <f t="shared" si="2"/>
        <v>2</v>
      </c>
      <c r="M27" t="str">
        <f t="shared" si="3"/>
        <v>Grande</v>
      </c>
    </row>
    <row r="28" spans="1:13" x14ac:dyDescent="0.25">
      <c r="A28" s="7">
        <v>46061</v>
      </c>
      <c r="B28" t="s">
        <v>9</v>
      </c>
      <c r="C28" t="s">
        <v>40</v>
      </c>
      <c r="D28" t="s">
        <v>23</v>
      </c>
      <c r="E28" t="s">
        <v>50</v>
      </c>
      <c r="F28">
        <v>2</v>
      </c>
      <c r="G28">
        <v>480</v>
      </c>
      <c r="H28" t="str">
        <f>VLOOKUP(E28,Productos!$A$2:$D$11,2,FALSE)</f>
        <v>Oficina</v>
      </c>
      <c r="I28">
        <f>VLOOKUP(E28,Productos!$A$2:$D$11,4,FALSE)</f>
        <v>300</v>
      </c>
      <c r="J28">
        <f t="shared" si="0"/>
        <v>960</v>
      </c>
      <c r="K28">
        <f t="shared" si="1"/>
        <v>360</v>
      </c>
      <c r="L28">
        <f t="shared" si="2"/>
        <v>2</v>
      </c>
      <c r="M28" t="str">
        <f t="shared" si="3"/>
        <v>Mediana</v>
      </c>
    </row>
    <row r="29" spans="1:13" x14ac:dyDescent="0.25">
      <c r="A29" s="7">
        <v>46063</v>
      </c>
      <c r="B29" t="s">
        <v>15</v>
      </c>
      <c r="C29" t="s">
        <v>40</v>
      </c>
      <c r="D29" t="s">
        <v>27</v>
      </c>
      <c r="E29" t="s">
        <v>46</v>
      </c>
      <c r="F29">
        <v>2</v>
      </c>
      <c r="G29">
        <v>60</v>
      </c>
      <c r="H29" t="str">
        <f>VLOOKUP(E29,Productos!$A$2:$D$11,2,FALSE)</f>
        <v>Accesorios</v>
      </c>
      <c r="I29">
        <f>VLOOKUP(E29,Productos!$A$2:$D$11,4,FALSE)</f>
        <v>32</v>
      </c>
      <c r="J29">
        <f t="shared" si="0"/>
        <v>120</v>
      </c>
      <c r="K29">
        <f t="shared" si="1"/>
        <v>56</v>
      </c>
      <c r="L29">
        <f t="shared" si="2"/>
        <v>2</v>
      </c>
      <c r="M29" t="str">
        <f t="shared" si="3"/>
        <v>Pequeña</v>
      </c>
    </row>
    <row r="30" spans="1:13" x14ac:dyDescent="0.25">
      <c r="A30" s="7">
        <v>46063</v>
      </c>
      <c r="B30" t="s">
        <v>11</v>
      </c>
      <c r="C30" t="s">
        <v>42</v>
      </c>
      <c r="D30" t="s">
        <v>25</v>
      </c>
      <c r="E30" t="s">
        <v>43</v>
      </c>
      <c r="F30">
        <v>1</v>
      </c>
      <c r="G30">
        <v>85</v>
      </c>
      <c r="H30" t="str">
        <f>VLOOKUP(E30,Productos!$A$2:$D$11,2,FALSE)</f>
        <v>Accesorios</v>
      </c>
      <c r="I30">
        <f>VLOOKUP(E30,Productos!$A$2:$D$11,4,FALSE)</f>
        <v>50</v>
      </c>
      <c r="J30">
        <f t="shared" si="0"/>
        <v>85</v>
      </c>
      <c r="K30">
        <f t="shared" si="1"/>
        <v>35</v>
      </c>
      <c r="L30">
        <f t="shared" si="2"/>
        <v>2</v>
      </c>
      <c r="M30" t="str">
        <f t="shared" si="3"/>
        <v>Pequeña</v>
      </c>
    </row>
    <row r="31" spans="1:13" x14ac:dyDescent="0.25">
      <c r="A31" s="7">
        <v>46063</v>
      </c>
      <c r="B31" t="s">
        <v>9</v>
      </c>
      <c r="C31" t="s">
        <v>42</v>
      </c>
      <c r="D31" t="s">
        <v>23</v>
      </c>
      <c r="E31" t="s">
        <v>43</v>
      </c>
      <c r="F31">
        <v>4</v>
      </c>
      <c r="G31">
        <v>85</v>
      </c>
      <c r="H31" t="str">
        <f>VLOOKUP(E31,Productos!$A$2:$D$11,2,FALSE)</f>
        <v>Accesorios</v>
      </c>
      <c r="I31">
        <f>VLOOKUP(E31,Productos!$A$2:$D$11,4,FALSE)</f>
        <v>50</v>
      </c>
      <c r="J31">
        <f t="shared" si="0"/>
        <v>340</v>
      </c>
      <c r="K31">
        <f t="shared" si="1"/>
        <v>140</v>
      </c>
      <c r="L31">
        <f t="shared" si="2"/>
        <v>2</v>
      </c>
      <c r="M31" t="str">
        <f t="shared" si="3"/>
        <v>Mediana</v>
      </c>
    </row>
    <row r="32" spans="1:13" x14ac:dyDescent="0.25">
      <c r="A32" s="7">
        <v>46064</v>
      </c>
      <c r="B32" t="s">
        <v>13</v>
      </c>
      <c r="C32" t="s">
        <v>40</v>
      </c>
      <c r="D32" t="s">
        <v>26</v>
      </c>
      <c r="E32" t="s">
        <v>50</v>
      </c>
      <c r="F32">
        <v>3</v>
      </c>
      <c r="G32">
        <v>480</v>
      </c>
      <c r="H32" t="str">
        <f>VLOOKUP(E32,Productos!$A$2:$D$11,2,FALSE)</f>
        <v>Oficina</v>
      </c>
      <c r="I32">
        <f>VLOOKUP(E32,Productos!$A$2:$D$11,4,FALSE)</f>
        <v>300</v>
      </c>
      <c r="J32">
        <f t="shared" si="0"/>
        <v>1440</v>
      </c>
      <c r="K32">
        <f t="shared" si="1"/>
        <v>540</v>
      </c>
      <c r="L32">
        <f t="shared" si="2"/>
        <v>2</v>
      </c>
      <c r="M32" t="str">
        <f t="shared" si="3"/>
        <v>Grande</v>
      </c>
    </row>
    <row r="33" spans="1:13" x14ac:dyDescent="0.25">
      <c r="A33" s="7">
        <v>46068</v>
      </c>
      <c r="B33" t="s">
        <v>11</v>
      </c>
      <c r="C33" t="s">
        <v>42</v>
      </c>
      <c r="D33" t="s">
        <v>25</v>
      </c>
      <c r="E33" t="s">
        <v>47</v>
      </c>
      <c r="F33">
        <v>6</v>
      </c>
      <c r="G33">
        <v>210</v>
      </c>
      <c r="H33" t="str">
        <f>VLOOKUP(E33,Productos!$A$2:$D$11,2,FALSE)</f>
        <v>Oficina</v>
      </c>
      <c r="I33">
        <f>VLOOKUP(E33,Productos!$A$2:$D$11,4,FALSE)</f>
        <v>140</v>
      </c>
      <c r="J33">
        <f t="shared" si="0"/>
        <v>1260</v>
      </c>
      <c r="K33">
        <f t="shared" si="1"/>
        <v>420</v>
      </c>
      <c r="L33">
        <f t="shared" si="2"/>
        <v>2</v>
      </c>
      <c r="M33" t="str">
        <f t="shared" si="3"/>
        <v>Grande</v>
      </c>
    </row>
    <row r="34" spans="1:13" x14ac:dyDescent="0.25">
      <c r="A34" s="7">
        <v>46068</v>
      </c>
      <c r="B34" t="s">
        <v>15</v>
      </c>
      <c r="C34" t="s">
        <v>40</v>
      </c>
      <c r="D34" t="s">
        <v>27</v>
      </c>
      <c r="E34" t="s">
        <v>44</v>
      </c>
      <c r="F34">
        <v>2</v>
      </c>
      <c r="G34">
        <v>95</v>
      </c>
      <c r="H34" t="str">
        <f>VLOOKUP(E34,Productos!$A$2:$D$11,2,FALSE)</f>
        <v>Electrónica</v>
      </c>
      <c r="I34">
        <f>VLOOKUP(E34,Productos!$A$2:$D$11,4,FALSE)</f>
        <v>55</v>
      </c>
      <c r="J34">
        <f t="shared" ref="J34:J65" si="4">F34*G34</f>
        <v>190</v>
      </c>
      <c r="K34">
        <f t="shared" ref="K34:K65" si="5">F34*(G34-I34)</f>
        <v>80</v>
      </c>
      <c r="L34">
        <f t="shared" ref="L34:L65" si="6">MONTH(A34)</f>
        <v>2</v>
      </c>
      <c r="M34" t="str">
        <f t="shared" ref="M34:M65" si="7">IF(J34&gt;=1000,"Grande",IF(J34&gt;=300,"Mediana","Pequeña"))</f>
        <v>Pequeña</v>
      </c>
    </row>
    <row r="35" spans="1:13" x14ac:dyDescent="0.25">
      <c r="A35" s="7">
        <v>46069</v>
      </c>
      <c r="B35" t="s">
        <v>9</v>
      </c>
      <c r="C35" t="s">
        <v>40</v>
      </c>
      <c r="D35" t="s">
        <v>24</v>
      </c>
      <c r="E35" t="s">
        <v>48</v>
      </c>
      <c r="F35">
        <v>2</v>
      </c>
      <c r="G35">
        <v>380</v>
      </c>
      <c r="H35" t="str">
        <f>VLOOKUP(E35,Productos!$A$2:$D$11,2,FALSE)</f>
        <v>Electrónica</v>
      </c>
      <c r="I35">
        <f>VLOOKUP(E35,Productos!$A$2:$D$11,4,FALSE)</f>
        <v>270</v>
      </c>
      <c r="J35">
        <f t="shared" si="4"/>
        <v>760</v>
      </c>
      <c r="K35">
        <f t="shared" si="5"/>
        <v>220</v>
      </c>
      <c r="L35">
        <f t="shared" si="6"/>
        <v>2</v>
      </c>
      <c r="M35" t="str">
        <f t="shared" si="7"/>
        <v>Mediana</v>
      </c>
    </row>
    <row r="36" spans="1:13" x14ac:dyDescent="0.25">
      <c r="A36" s="7">
        <v>46070</v>
      </c>
      <c r="B36" t="s">
        <v>9</v>
      </c>
      <c r="C36" t="s">
        <v>42</v>
      </c>
      <c r="D36" t="s">
        <v>24</v>
      </c>
      <c r="E36" t="s">
        <v>49</v>
      </c>
      <c r="F36">
        <v>3</v>
      </c>
      <c r="G36">
        <v>25</v>
      </c>
      <c r="H36" t="str">
        <f>VLOOKUP(E36,Productos!$A$2:$D$11,2,FALSE)</f>
        <v>Accesorios</v>
      </c>
      <c r="I36">
        <f>VLOOKUP(E36,Productos!$A$2:$D$11,4,FALSE)</f>
        <v>12</v>
      </c>
      <c r="J36">
        <f t="shared" si="4"/>
        <v>75</v>
      </c>
      <c r="K36">
        <f t="shared" si="5"/>
        <v>39</v>
      </c>
      <c r="L36">
        <f t="shared" si="6"/>
        <v>2</v>
      </c>
      <c r="M36" t="str">
        <f t="shared" si="7"/>
        <v>Pequeña</v>
      </c>
    </row>
    <row r="37" spans="1:13" x14ac:dyDescent="0.25">
      <c r="A37" s="7">
        <v>46073</v>
      </c>
      <c r="B37" t="s">
        <v>9</v>
      </c>
      <c r="C37" t="s">
        <v>40</v>
      </c>
      <c r="D37" t="s">
        <v>24</v>
      </c>
      <c r="E37" t="s">
        <v>49</v>
      </c>
      <c r="F37">
        <v>4</v>
      </c>
      <c r="G37">
        <v>25</v>
      </c>
      <c r="H37" t="str">
        <f>VLOOKUP(E37,Productos!$A$2:$D$11,2,FALSE)</f>
        <v>Accesorios</v>
      </c>
      <c r="I37">
        <f>VLOOKUP(E37,Productos!$A$2:$D$11,4,FALSE)</f>
        <v>12</v>
      </c>
      <c r="J37">
        <f t="shared" si="4"/>
        <v>100</v>
      </c>
      <c r="K37">
        <f t="shared" si="5"/>
        <v>52</v>
      </c>
      <c r="L37">
        <f t="shared" si="6"/>
        <v>2</v>
      </c>
      <c r="M37" t="str">
        <f t="shared" si="7"/>
        <v>Pequeña</v>
      </c>
    </row>
    <row r="38" spans="1:13" x14ac:dyDescent="0.25">
      <c r="A38" s="7">
        <v>46079</v>
      </c>
      <c r="B38" t="s">
        <v>11</v>
      </c>
      <c r="C38" t="s">
        <v>42</v>
      </c>
      <c r="D38" t="s">
        <v>25</v>
      </c>
      <c r="E38" t="s">
        <v>51</v>
      </c>
      <c r="F38">
        <v>1</v>
      </c>
      <c r="G38">
        <v>1200</v>
      </c>
      <c r="H38" t="str">
        <f>VLOOKUP(E38,Productos!$A$2:$D$11,2,FALSE)</f>
        <v>Electrónica</v>
      </c>
      <c r="I38">
        <f>VLOOKUP(E38,Productos!$A$2:$D$11,4,FALSE)</f>
        <v>900</v>
      </c>
      <c r="J38">
        <f t="shared" si="4"/>
        <v>1200</v>
      </c>
      <c r="K38">
        <f t="shared" si="5"/>
        <v>300</v>
      </c>
      <c r="L38">
        <f t="shared" si="6"/>
        <v>2</v>
      </c>
      <c r="M38" t="str">
        <f t="shared" si="7"/>
        <v>Grande</v>
      </c>
    </row>
    <row r="39" spans="1:13" x14ac:dyDescent="0.25">
      <c r="A39" s="7">
        <v>46079</v>
      </c>
      <c r="B39" t="s">
        <v>11</v>
      </c>
      <c r="C39" t="s">
        <v>42</v>
      </c>
      <c r="D39" t="s">
        <v>28</v>
      </c>
      <c r="E39" t="s">
        <v>47</v>
      </c>
      <c r="F39">
        <v>6</v>
      </c>
      <c r="G39">
        <v>210</v>
      </c>
      <c r="H39" t="str">
        <f>VLOOKUP(E39,Productos!$A$2:$D$11,2,FALSE)</f>
        <v>Oficina</v>
      </c>
      <c r="I39">
        <f>VLOOKUP(E39,Productos!$A$2:$D$11,4,FALSE)</f>
        <v>140</v>
      </c>
      <c r="J39">
        <f t="shared" si="4"/>
        <v>1260</v>
      </c>
      <c r="K39">
        <f t="shared" si="5"/>
        <v>420</v>
      </c>
      <c r="L39">
        <f t="shared" si="6"/>
        <v>2</v>
      </c>
      <c r="M39" t="str">
        <f t="shared" si="7"/>
        <v>Grande</v>
      </c>
    </row>
    <row r="40" spans="1:13" x14ac:dyDescent="0.25">
      <c r="A40" s="7">
        <v>46080</v>
      </c>
      <c r="B40" t="s">
        <v>9</v>
      </c>
      <c r="C40" t="s">
        <v>40</v>
      </c>
      <c r="D40" t="s">
        <v>23</v>
      </c>
      <c r="E40" t="s">
        <v>50</v>
      </c>
      <c r="F40">
        <v>1</v>
      </c>
      <c r="G40">
        <v>480</v>
      </c>
      <c r="H40" t="str">
        <f>VLOOKUP(E40,Productos!$A$2:$D$11,2,FALSE)</f>
        <v>Oficina</v>
      </c>
      <c r="I40">
        <f>VLOOKUP(E40,Productos!$A$2:$D$11,4,FALSE)</f>
        <v>300</v>
      </c>
      <c r="J40">
        <f t="shared" si="4"/>
        <v>480</v>
      </c>
      <c r="K40">
        <f t="shared" si="5"/>
        <v>180</v>
      </c>
      <c r="L40">
        <f t="shared" si="6"/>
        <v>2</v>
      </c>
      <c r="M40" t="str">
        <f t="shared" si="7"/>
        <v>Mediana</v>
      </c>
    </row>
    <row r="41" spans="1:13" x14ac:dyDescent="0.25">
      <c r="A41" s="7">
        <v>46080</v>
      </c>
      <c r="B41" t="s">
        <v>9</v>
      </c>
      <c r="C41" t="s">
        <v>42</v>
      </c>
      <c r="D41" t="s">
        <v>23</v>
      </c>
      <c r="E41" t="s">
        <v>46</v>
      </c>
      <c r="F41">
        <v>8</v>
      </c>
      <c r="G41">
        <v>60</v>
      </c>
      <c r="H41" t="str">
        <f>VLOOKUP(E41,Productos!$A$2:$D$11,2,FALSE)</f>
        <v>Accesorios</v>
      </c>
      <c r="I41">
        <f>VLOOKUP(E41,Productos!$A$2:$D$11,4,FALSE)</f>
        <v>32</v>
      </c>
      <c r="J41">
        <f t="shared" si="4"/>
        <v>480</v>
      </c>
      <c r="K41">
        <f t="shared" si="5"/>
        <v>224</v>
      </c>
      <c r="L41">
        <f t="shared" si="6"/>
        <v>2</v>
      </c>
      <c r="M41" t="str">
        <f t="shared" si="7"/>
        <v>Mediana</v>
      </c>
    </row>
    <row r="42" spans="1:13" x14ac:dyDescent="0.25">
      <c r="A42" s="7">
        <v>46082</v>
      </c>
      <c r="B42" t="s">
        <v>9</v>
      </c>
      <c r="C42" t="s">
        <v>40</v>
      </c>
      <c r="D42" t="s">
        <v>24</v>
      </c>
      <c r="E42" t="s">
        <v>51</v>
      </c>
      <c r="F42">
        <v>2</v>
      </c>
      <c r="G42">
        <v>1200</v>
      </c>
      <c r="H42" t="str">
        <f>VLOOKUP(E42,Productos!$A$2:$D$11,2,FALSE)</f>
        <v>Electrónica</v>
      </c>
      <c r="I42">
        <f>VLOOKUP(E42,Productos!$A$2:$D$11,4,FALSE)</f>
        <v>900</v>
      </c>
      <c r="J42">
        <f t="shared" si="4"/>
        <v>2400</v>
      </c>
      <c r="K42">
        <f t="shared" si="5"/>
        <v>600</v>
      </c>
      <c r="L42">
        <f t="shared" si="6"/>
        <v>3</v>
      </c>
      <c r="M42" t="str">
        <f t="shared" si="7"/>
        <v>Grande</v>
      </c>
    </row>
    <row r="43" spans="1:13" x14ac:dyDescent="0.25">
      <c r="A43" s="7">
        <v>46082</v>
      </c>
      <c r="B43" t="s">
        <v>9</v>
      </c>
      <c r="C43" t="s">
        <v>42</v>
      </c>
      <c r="D43" t="s">
        <v>23</v>
      </c>
      <c r="E43" t="s">
        <v>50</v>
      </c>
      <c r="F43">
        <v>1</v>
      </c>
      <c r="G43">
        <v>480</v>
      </c>
      <c r="H43" t="str">
        <f>VLOOKUP(E43,Productos!$A$2:$D$11,2,FALSE)</f>
        <v>Oficina</v>
      </c>
      <c r="I43">
        <f>VLOOKUP(E43,Productos!$A$2:$D$11,4,FALSE)</f>
        <v>300</v>
      </c>
      <c r="J43">
        <f t="shared" si="4"/>
        <v>480</v>
      </c>
      <c r="K43">
        <f t="shared" si="5"/>
        <v>180</v>
      </c>
      <c r="L43">
        <f t="shared" si="6"/>
        <v>3</v>
      </c>
      <c r="M43" t="str">
        <f t="shared" si="7"/>
        <v>Mediana</v>
      </c>
    </row>
    <row r="44" spans="1:13" x14ac:dyDescent="0.25">
      <c r="A44" s="7">
        <v>46083</v>
      </c>
      <c r="B44" t="s">
        <v>13</v>
      </c>
      <c r="C44" t="s">
        <v>42</v>
      </c>
      <c r="D44" t="s">
        <v>26</v>
      </c>
      <c r="E44" t="s">
        <v>41</v>
      </c>
      <c r="F44">
        <v>2</v>
      </c>
      <c r="G44">
        <v>320</v>
      </c>
      <c r="H44" t="str">
        <f>VLOOKUP(E44,Productos!$A$2:$D$11,2,FALSE)</f>
        <v>Electrónica</v>
      </c>
      <c r="I44">
        <f>VLOOKUP(E44,Productos!$A$2:$D$11,4,FALSE)</f>
        <v>210</v>
      </c>
      <c r="J44">
        <f t="shared" si="4"/>
        <v>640</v>
      </c>
      <c r="K44">
        <f t="shared" si="5"/>
        <v>220</v>
      </c>
      <c r="L44">
        <f t="shared" si="6"/>
        <v>3</v>
      </c>
      <c r="M44" t="str">
        <f t="shared" si="7"/>
        <v>Mediana</v>
      </c>
    </row>
    <row r="45" spans="1:13" x14ac:dyDescent="0.25">
      <c r="A45" s="7">
        <v>46085</v>
      </c>
      <c r="B45" t="s">
        <v>11</v>
      </c>
      <c r="C45" t="s">
        <v>40</v>
      </c>
      <c r="D45" t="s">
        <v>28</v>
      </c>
      <c r="E45" t="s">
        <v>45</v>
      </c>
      <c r="F45">
        <v>5</v>
      </c>
      <c r="G45">
        <v>260</v>
      </c>
      <c r="H45" t="str">
        <f>VLOOKUP(E45,Productos!$A$2:$D$11,2,FALSE)</f>
        <v>Oficina</v>
      </c>
      <c r="I45">
        <f>VLOOKUP(E45,Productos!$A$2:$D$11,4,FALSE)</f>
        <v>150</v>
      </c>
      <c r="J45">
        <f t="shared" si="4"/>
        <v>1300</v>
      </c>
      <c r="K45">
        <f t="shared" si="5"/>
        <v>550</v>
      </c>
      <c r="L45">
        <f t="shared" si="6"/>
        <v>3</v>
      </c>
      <c r="M45" t="str">
        <f t="shared" si="7"/>
        <v>Grande</v>
      </c>
    </row>
    <row r="46" spans="1:13" x14ac:dyDescent="0.25">
      <c r="A46" s="7">
        <v>46085</v>
      </c>
      <c r="B46" t="s">
        <v>15</v>
      </c>
      <c r="C46" t="s">
        <v>40</v>
      </c>
      <c r="D46" t="s">
        <v>27</v>
      </c>
      <c r="E46" t="s">
        <v>45</v>
      </c>
      <c r="F46">
        <v>6</v>
      </c>
      <c r="G46">
        <v>260</v>
      </c>
      <c r="H46" t="str">
        <f>VLOOKUP(E46,Productos!$A$2:$D$11,2,FALSE)</f>
        <v>Oficina</v>
      </c>
      <c r="I46">
        <f>VLOOKUP(E46,Productos!$A$2:$D$11,4,FALSE)</f>
        <v>150</v>
      </c>
      <c r="J46">
        <f t="shared" si="4"/>
        <v>1560</v>
      </c>
      <c r="K46">
        <f t="shared" si="5"/>
        <v>660</v>
      </c>
      <c r="L46">
        <f t="shared" si="6"/>
        <v>3</v>
      </c>
      <c r="M46" t="str">
        <f t="shared" si="7"/>
        <v>Grande</v>
      </c>
    </row>
    <row r="47" spans="1:13" x14ac:dyDescent="0.25">
      <c r="A47" s="7">
        <v>46086</v>
      </c>
      <c r="B47" t="s">
        <v>9</v>
      </c>
      <c r="C47" t="s">
        <v>40</v>
      </c>
      <c r="D47" t="s">
        <v>24</v>
      </c>
      <c r="E47" t="s">
        <v>48</v>
      </c>
      <c r="F47">
        <v>2</v>
      </c>
      <c r="G47">
        <v>380</v>
      </c>
      <c r="H47" t="str">
        <f>VLOOKUP(E47,Productos!$A$2:$D$11,2,FALSE)</f>
        <v>Electrónica</v>
      </c>
      <c r="I47">
        <f>VLOOKUP(E47,Productos!$A$2:$D$11,4,FALSE)</f>
        <v>270</v>
      </c>
      <c r="J47">
        <f t="shared" si="4"/>
        <v>760</v>
      </c>
      <c r="K47">
        <f t="shared" si="5"/>
        <v>220</v>
      </c>
      <c r="L47">
        <f t="shared" si="6"/>
        <v>3</v>
      </c>
      <c r="M47" t="str">
        <f t="shared" si="7"/>
        <v>Mediana</v>
      </c>
    </row>
    <row r="48" spans="1:13" x14ac:dyDescent="0.25">
      <c r="A48" s="7">
        <v>46093</v>
      </c>
      <c r="B48" t="s">
        <v>11</v>
      </c>
      <c r="C48" t="s">
        <v>40</v>
      </c>
      <c r="D48" t="s">
        <v>25</v>
      </c>
      <c r="E48" t="s">
        <v>45</v>
      </c>
      <c r="F48">
        <v>5</v>
      </c>
      <c r="G48">
        <v>260</v>
      </c>
      <c r="H48" t="str">
        <f>VLOOKUP(E48,Productos!$A$2:$D$11,2,FALSE)</f>
        <v>Oficina</v>
      </c>
      <c r="I48">
        <f>VLOOKUP(E48,Productos!$A$2:$D$11,4,FALSE)</f>
        <v>150</v>
      </c>
      <c r="J48">
        <f t="shared" si="4"/>
        <v>1300</v>
      </c>
      <c r="K48">
        <f t="shared" si="5"/>
        <v>550</v>
      </c>
      <c r="L48">
        <f t="shared" si="6"/>
        <v>3</v>
      </c>
      <c r="M48" t="str">
        <f t="shared" si="7"/>
        <v>Grande</v>
      </c>
    </row>
    <row r="49" spans="1:13" x14ac:dyDescent="0.25">
      <c r="A49" s="7">
        <v>46094</v>
      </c>
      <c r="B49" t="s">
        <v>9</v>
      </c>
      <c r="C49" t="s">
        <v>40</v>
      </c>
      <c r="D49" t="s">
        <v>23</v>
      </c>
      <c r="E49" t="s">
        <v>50</v>
      </c>
      <c r="F49">
        <v>1</v>
      </c>
      <c r="G49">
        <v>480</v>
      </c>
      <c r="H49" t="str">
        <f>VLOOKUP(E49,Productos!$A$2:$D$11,2,FALSE)</f>
        <v>Oficina</v>
      </c>
      <c r="I49">
        <f>VLOOKUP(E49,Productos!$A$2:$D$11,4,FALSE)</f>
        <v>300</v>
      </c>
      <c r="J49">
        <f t="shared" si="4"/>
        <v>480</v>
      </c>
      <c r="K49">
        <f t="shared" si="5"/>
        <v>180</v>
      </c>
      <c r="L49">
        <f t="shared" si="6"/>
        <v>3</v>
      </c>
      <c r="M49" t="str">
        <f t="shared" si="7"/>
        <v>Mediana</v>
      </c>
    </row>
    <row r="50" spans="1:13" x14ac:dyDescent="0.25">
      <c r="A50" s="7">
        <v>46097</v>
      </c>
      <c r="B50" t="s">
        <v>11</v>
      </c>
      <c r="C50" t="s">
        <v>42</v>
      </c>
      <c r="D50" t="s">
        <v>25</v>
      </c>
      <c r="E50" t="s">
        <v>50</v>
      </c>
      <c r="F50">
        <v>1</v>
      </c>
      <c r="G50">
        <v>480</v>
      </c>
      <c r="H50" t="str">
        <f>VLOOKUP(E50,Productos!$A$2:$D$11,2,FALSE)</f>
        <v>Oficina</v>
      </c>
      <c r="I50">
        <f>VLOOKUP(E50,Productos!$A$2:$D$11,4,FALSE)</f>
        <v>300</v>
      </c>
      <c r="J50">
        <f t="shared" si="4"/>
        <v>480</v>
      </c>
      <c r="K50">
        <f t="shared" si="5"/>
        <v>180</v>
      </c>
      <c r="L50">
        <f t="shared" si="6"/>
        <v>3</v>
      </c>
      <c r="M50" t="str">
        <f t="shared" si="7"/>
        <v>Mediana</v>
      </c>
    </row>
    <row r="51" spans="1:13" x14ac:dyDescent="0.25">
      <c r="A51" s="7">
        <v>46098</v>
      </c>
      <c r="B51" t="s">
        <v>15</v>
      </c>
      <c r="C51" t="s">
        <v>40</v>
      </c>
      <c r="D51" t="s">
        <v>27</v>
      </c>
      <c r="E51" t="s">
        <v>48</v>
      </c>
      <c r="F51">
        <v>2</v>
      </c>
      <c r="G51">
        <v>380</v>
      </c>
      <c r="H51" t="str">
        <f>VLOOKUP(E51,Productos!$A$2:$D$11,2,FALSE)</f>
        <v>Electrónica</v>
      </c>
      <c r="I51">
        <f>VLOOKUP(E51,Productos!$A$2:$D$11,4,FALSE)</f>
        <v>270</v>
      </c>
      <c r="J51">
        <f t="shared" si="4"/>
        <v>760</v>
      </c>
      <c r="K51">
        <f t="shared" si="5"/>
        <v>220</v>
      </c>
      <c r="L51">
        <f t="shared" si="6"/>
        <v>3</v>
      </c>
      <c r="M51" t="str">
        <f t="shared" si="7"/>
        <v>Mediana</v>
      </c>
    </row>
    <row r="52" spans="1:13" x14ac:dyDescent="0.25">
      <c r="A52" s="7">
        <v>46101</v>
      </c>
      <c r="B52" t="s">
        <v>9</v>
      </c>
      <c r="C52" t="s">
        <v>40</v>
      </c>
      <c r="D52" t="s">
        <v>23</v>
      </c>
      <c r="E52" t="s">
        <v>43</v>
      </c>
      <c r="F52">
        <v>6</v>
      </c>
      <c r="G52">
        <v>85</v>
      </c>
      <c r="H52" t="str">
        <f>VLOOKUP(E52,Productos!$A$2:$D$11,2,FALSE)</f>
        <v>Accesorios</v>
      </c>
      <c r="I52">
        <f>VLOOKUP(E52,Productos!$A$2:$D$11,4,FALSE)</f>
        <v>50</v>
      </c>
      <c r="J52">
        <f t="shared" si="4"/>
        <v>510</v>
      </c>
      <c r="K52">
        <f t="shared" si="5"/>
        <v>210</v>
      </c>
      <c r="L52">
        <f t="shared" si="6"/>
        <v>3</v>
      </c>
      <c r="M52" t="str">
        <f t="shared" si="7"/>
        <v>Mediana</v>
      </c>
    </row>
    <row r="53" spans="1:13" x14ac:dyDescent="0.25">
      <c r="A53" s="7">
        <v>46102</v>
      </c>
      <c r="B53" t="s">
        <v>9</v>
      </c>
      <c r="C53" t="s">
        <v>40</v>
      </c>
      <c r="D53" t="s">
        <v>23</v>
      </c>
      <c r="E53" t="s">
        <v>44</v>
      </c>
      <c r="F53">
        <v>6</v>
      </c>
      <c r="G53">
        <v>95</v>
      </c>
      <c r="H53" t="str">
        <f>VLOOKUP(E53,Productos!$A$2:$D$11,2,FALSE)</f>
        <v>Electrónica</v>
      </c>
      <c r="I53">
        <f>VLOOKUP(E53,Productos!$A$2:$D$11,4,FALSE)</f>
        <v>55</v>
      </c>
      <c r="J53">
        <f t="shared" si="4"/>
        <v>570</v>
      </c>
      <c r="K53">
        <f t="shared" si="5"/>
        <v>240</v>
      </c>
      <c r="L53">
        <f t="shared" si="6"/>
        <v>3</v>
      </c>
      <c r="M53" t="str">
        <f t="shared" si="7"/>
        <v>Mediana</v>
      </c>
    </row>
    <row r="54" spans="1:13" x14ac:dyDescent="0.25">
      <c r="A54" s="7">
        <v>46102</v>
      </c>
      <c r="B54" t="s">
        <v>11</v>
      </c>
      <c r="C54" t="s">
        <v>40</v>
      </c>
      <c r="D54" t="s">
        <v>28</v>
      </c>
      <c r="E54" t="s">
        <v>51</v>
      </c>
      <c r="F54">
        <v>2</v>
      </c>
      <c r="G54">
        <v>1200</v>
      </c>
      <c r="H54" t="str">
        <f>VLOOKUP(E54,Productos!$A$2:$D$11,2,FALSE)</f>
        <v>Electrónica</v>
      </c>
      <c r="I54">
        <f>VLOOKUP(E54,Productos!$A$2:$D$11,4,FALSE)</f>
        <v>900</v>
      </c>
      <c r="J54">
        <f t="shared" si="4"/>
        <v>2400</v>
      </c>
      <c r="K54">
        <f t="shared" si="5"/>
        <v>600</v>
      </c>
      <c r="L54">
        <f t="shared" si="6"/>
        <v>3</v>
      </c>
      <c r="M54" t="str">
        <f t="shared" si="7"/>
        <v>Grande</v>
      </c>
    </row>
    <row r="55" spans="1:13" x14ac:dyDescent="0.25">
      <c r="A55" s="7">
        <v>46103</v>
      </c>
      <c r="B55" t="s">
        <v>9</v>
      </c>
      <c r="C55" t="s">
        <v>40</v>
      </c>
      <c r="D55" t="s">
        <v>24</v>
      </c>
      <c r="E55" t="s">
        <v>45</v>
      </c>
      <c r="F55">
        <v>1</v>
      </c>
      <c r="G55">
        <v>260</v>
      </c>
      <c r="H55" t="str">
        <f>VLOOKUP(E55,Productos!$A$2:$D$11,2,FALSE)</f>
        <v>Oficina</v>
      </c>
      <c r="I55">
        <f>VLOOKUP(E55,Productos!$A$2:$D$11,4,FALSE)</f>
        <v>150</v>
      </c>
      <c r="J55">
        <f t="shared" si="4"/>
        <v>260</v>
      </c>
      <c r="K55">
        <f t="shared" si="5"/>
        <v>110</v>
      </c>
      <c r="L55">
        <f t="shared" si="6"/>
        <v>3</v>
      </c>
      <c r="M55" t="str">
        <f t="shared" si="7"/>
        <v>Pequeña</v>
      </c>
    </row>
    <row r="56" spans="1:13" x14ac:dyDescent="0.25">
      <c r="A56" s="7">
        <v>46104</v>
      </c>
      <c r="B56" t="s">
        <v>15</v>
      </c>
      <c r="C56" t="s">
        <v>40</v>
      </c>
      <c r="D56" t="s">
        <v>27</v>
      </c>
      <c r="E56" t="s">
        <v>47</v>
      </c>
      <c r="F56">
        <v>3</v>
      </c>
      <c r="G56">
        <v>210</v>
      </c>
      <c r="H56" t="str">
        <f>VLOOKUP(E56,Productos!$A$2:$D$11,2,FALSE)</f>
        <v>Oficina</v>
      </c>
      <c r="I56">
        <f>VLOOKUP(E56,Productos!$A$2:$D$11,4,FALSE)</f>
        <v>140</v>
      </c>
      <c r="J56">
        <f t="shared" si="4"/>
        <v>630</v>
      </c>
      <c r="K56">
        <f t="shared" si="5"/>
        <v>210</v>
      </c>
      <c r="L56">
        <f t="shared" si="6"/>
        <v>3</v>
      </c>
      <c r="M56" t="str">
        <f t="shared" si="7"/>
        <v>Mediana</v>
      </c>
    </row>
    <row r="57" spans="1:13" x14ac:dyDescent="0.25">
      <c r="A57" s="7">
        <v>46105</v>
      </c>
      <c r="B57" t="s">
        <v>11</v>
      </c>
      <c r="C57" t="s">
        <v>40</v>
      </c>
      <c r="D57" t="s">
        <v>25</v>
      </c>
      <c r="E57" t="s">
        <v>43</v>
      </c>
      <c r="F57">
        <v>2</v>
      </c>
      <c r="G57">
        <v>85</v>
      </c>
      <c r="H57" t="str">
        <f>VLOOKUP(E57,Productos!$A$2:$D$11,2,FALSE)</f>
        <v>Accesorios</v>
      </c>
      <c r="I57">
        <f>VLOOKUP(E57,Productos!$A$2:$D$11,4,FALSE)</f>
        <v>50</v>
      </c>
      <c r="J57">
        <f t="shared" si="4"/>
        <v>170</v>
      </c>
      <c r="K57">
        <f t="shared" si="5"/>
        <v>70</v>
      </c>
      <c r="L57">
        <f t="shared" si="6"/>
        <v>3</v>
      </c>
      <c r="M57" t="str">
        <f t="shared" si="7"/>
        <v>Pequeña</v>
      </c>
    </row>
    <row r="58" spans="1:13" x14ac:dyDescent="0.25">
      <c r="A58" s="7">
        <v>46105</v>
      </c>
      <c r="B58" t="s">
        <v>9</v>
      </c>
      <c r="C58" t="s">
        <v>40</v>
      </c>
      <c r="D58" t="s">
        <v>24</v>
      </c>
      <c r="E58" t="s">
        <v>49</v>
      </c>
      <c r="F58">
        <v>6</v>
      </c>
      <c r="G58">
        <v>25</v>
      </c>
      <c r="H58" t="str">
        <f>VLOOKUP(E58,Productos!$A$2:$D$11,2,FALSE)</f>
        <v>Accesorios</v>
      </c>
      <c r="I58">
        <f>VLOOKUP(E58,Productos!$A$2:$D$11,4,FALSE)</f>
        <v>12</v>
      </c>
      <c r="J58">
        <f t="shared" si="4"/>
        <v>150</v>
      </c>
      <c r="K58">
        <f t="shared" si="5"/>
        <v>78</v>
      </c>
      <c r="L58">
        <f t="shared" si="6"/>
        <v>3</v>
      </c>
      <c r="M58" t="str">
        <f t="shared" si="7"/>
        <v>Pequeña</v>
      </c>
    </row>
    <row r="59" spans="1:13" x14ac:dyDescent="0.25">
      <c r="A59" s="7">
        <v>46106</v>
      </c>
      <c r="B59" t="s">
        <v>11</v>
      </c>
      <c r="C59" t="s">
        <v>42</v>
      </c>
      <c r="D59" t="s">
        <v>28</v>
      </c>
      <c r="E59" t="s">
        <v>46</v>
      </c>
      <c r="F59">
        <v>3</v>
      </c>
      <c r="G59">
        <v>60</v>
      </c>
      <c r="H59" t="str">
        <f>VLOOKUP(E59,Productos!$A$2:$D$11,2,FALSE)</f>
        <v>Accesorios</v>
      </c>
      <c r="I59">
        <f>VLOOKUP(E59,Productos!$A$2:$D$11,4,FALSE)</f>
        <v>32</v>
      </c>
      <c r="J59">
        <f t="shared" si="4"/>
        <v>180</v>
      </c>
      <c r="K59">
        <f t="shared" si="5"/>
        <v>84</v>
      </c>
      <c r="L59">
        <f t="shared" si="6"/>
        <v>3</v>
      </c>
      <c r="M59" t="str">
        <f t="shared" si="7"/>
        <v>Pequeña</v>
      </c>
    </row>
    <row r="60" spans="1:13" x14ac:dyDescent="0.25">
      <c r="A60" s="7">
        <v>46107</v>
      </c>
      <c r="B60" t="s">
        <v>13</v>
      </c>
      <c r="C60" t="s">
        <v>40</v>
      </c>
      <c r="D60" t="s">
        <v>26</v>
      </c>
      <c r="E60" t="s">
        <v>46</v>
      </c>
      <c r="F60">
        <v>8</v>
      </c>
      <c r="G60">
        <v>60</v>
      </c>
      <c r="H60" t="str">
        <f>VLOOKUP(E60,Productos!$A$2:$D$11,2,FALSE)</f>
        <v>Accesorios</v>
      </c>
      <c r="I60">
        <f>VLOOKUP(E60,Productos!$A$2:$D$11,4,FALSE)</f>
        <v>32</v>
      </c>
      <c r="J60">
        <f t="shared" si="4"/>
        <v>480</v>
      </c>
      <c r="K60">
        <f t="shared" si="5"/>
        <v>224</v>
      </c>
      <c r="L60">
        <f t="shared" si="6"/>
        <v>3</v>
      </c>
      <c r="M60" t="str">
        <f t="shared" si="7"/>
        <v>Mediana</v>
      </c>
    </row>
    <row r="61" spans="1:13" x14ac:dyDescent="0.25">
      <c r="A61" s="7">
        <v>46108</v>
      </c>
      <c r="B61" t="s">
        <v>11</v>
      </c>
      <c r="C61" t="s">
        <v>40</v>
      </c>
      <c r="D61" t="s">
        <v>25</v>
      </c>
      <c r="E61" t="s">
        <v>43</v>
      </c>
      <c r="F61">
        <v>8</v>
      </c>
      <c r="G61">
        <v>85</v>
      </c>
      <c r="H61" t="str">
        <f>VLOOKUP(E61,Productos!$A$2:$D$11,2,FALSE)</f>
        <v>Accesorios</v>
      </c>
      <c r="I61">
        <f>VLOOKUP(E61,Productos!$A$2:$D$11,4,FALSE)</f>
        <v>50</v>
      </c>
      <c r="J61">
        <f t="shared" si="4"/>
        <v>680</v>
      </c>
      <c r="K61">
        <f t="shared" si="5"/>
        <v>280</v>
      </c>
      <c r="L61">
        <f t="shared" si="6"/>
        <v>3</v>
      </c>
      <c r="M61" t="str">
        <f t="shared" si="7"/>
        <v>Mediana</v>
      </c>
    </row>
    <row r="62" spans="1:13" x14ac:dyDescent="0.25">
      <c r="A62" s="7">
        <v>46113</v>
      </c>
      <c r="B62" t="s">
        <v>11</v>
      </c>
      <c r="C62" t="s">
        <v>40</v>
      </c>
      <c r="D62" t="s">
        <v>25</v>
      </c>
      <c r="E62" t="s">
        <v>44</v>
      </c>
      <c r="F62">
        <v>7</v>
      </c>
      <c r="G62">
        <v>95</v>
      </c>
      <c r="H62" t="str">
        <f>VLOOKUP(E62,Productos!$A$2:$D$11,2,FALSE)</f>
        <v>Electrónica</v>
      </c>
      <c r="I62">
        <f>VLOOKUP(E62,Productos!$A$2:$D$11,4,FALSE)</f>
        <v>55</v>
      </c>
      <c r="J62">
        <f t="shared" si="4"/>
        <v>665</v>
      </c>
      <c r="K62">
        <f t="shared" si="5"/>
        <v>280</v>
      </c>
      <c r="L62">
        <f t="shared" si="6"/>
        <v>4</v>
      </c>
      <c r="M62" t="str">
        <f t="shared" si="7"/>
        <v>Mediana</v>
      </c>
    </row>
    <row r="63" spans="1:13" x14ac:dyDescent="0.25">
      <c r="A63" s="7">
        <v>46115</v>
      </c>
      <c r="B63" t="s">
        <v>13</v>
      </c>
      <c r="C63" t="s">
        <v>42</v>
      </c>
      <c r="D63" t="s">
        <v>26</v>
      </c>
      <c r="E63" t="s">
        <v>45</v>
      </c>
      <c r="F63">
        <v>3</v>
      </c>
      <c r="G63">
        <v>260</v>
      </c>
      <c r="H63" t="str">
        <f>VLOOKUP(E63,Productos!$A$2:$D$11,2,FALSE)</f>
        <v>Oficina</v>
      </c>
      <c r="I63">
        <f>VLOOKUP(E63,Productos!$A$2:$D$11,4,FALSE)</f>
        <v>150</v>
      </c>
      <c r="J63">
        <f t="shared" si="4"/>
        <v>780</v>
      </c>
      <c r="K63">
        <f t="shared" si="5"/>
        <v>330</v>
      </c>
      <c r="L63">
        <f t="shared" si="6"/>
        <v>4</v>
      </c>
      <c r="M63" t="str">
        <f t="shared" si="7"/>
        <v>Mediana</v>
      </c>
    </row>
    <row r="64" spans="1:13" x14ac:dyDescent="0.25">
      <c r="A64" s="7">
        <v>46117</v>
      </c>
      <c r="B64" t="s">
        <v>13</v>
      </c>
      <c r="C64" t="s">
        <v>40</v>
      </c>
      <c r="D64" t="s">
        <v>26</v>
      </c>
      <c r="E64" t="s">
        <v>45</v>
      </c>
      <c r="F64">
        <v>7</v>
      </c>
      <c r="G64">
        <v>260</v>
      </c>
      <c r="H64" t="str">
        <f>VLOOKUP(E64,Productos!$A$2:$D$11,2,FALSE)</f>
        <v>Oficina</v>
      </c>
      <c r="I64">
        <f>VLOOKUP(E64,Productos!$A$2:$D$11,4,FALSE)</f>
        <v>150</v>
      </c>
      <c r="J64">
        <f t="shared" si="4"/>
        <v>1820</v>
      </c>
      <c r="K64">
        <f t="shared" si="5"/>
        <v>770</v>
      </c>
      <c r="L64">
        <f t="shared" si="6"/>
        <v>4</v>
      </c>
      <c r="M64" t="str">
        <f t="shared" si="7"/>
        <v>Grande</v>
      </c>
    </row>
    <row r="65" spans="1:13" x14ac:dyDescent="0.25">
      <c r="A65" s="7">
        <v>46118</v>
      </c>
      <c r="B65" t="s">
        <v>9</v>
      </c>
      <c r="C65" t="s">
        <v>40</v>
      </c>
      <c r="D65" t="s">
        <v>24</v>
      </c>
      <c r="E65" t="s">
        <v>41</v>
      </c>
      <c r="F65">
        <v>3</v>
      </c>
      <c r="G65">
        <v>320</v>
      </c>
      <c r="H65" t="str">
        <f>VLOOKUP(E65,Productos!$A$2:$D$11,2,FALSE)</f>
        <v>Electrónica</v>
      </c>
      <c r="I65">
        <f>VLOOKUP(E65,Productos!$A$2:$D$11,4,FALSE)</f>
        <v>210</v>
      </c>
      <c r="J65">
        <f t="shared" si="4"/>
        <v>960</v>
      </c>
      <c r="K65">
        <f t="shared" si="5"/>
        <v>330</v>
      </c>
      <c r="L65">
        <f t="shared" si="6"/>
        <v>4</v>
      </c>
      <c r="M65" t="str">
        <f t="shared" si="7"/>
        <v>Mediana</v>
      </c>
    </row>
    <row r="66" spans="1:13" x14ac:dyDescent="0.25">
      <c r="A66" s="7">
        <v>46119</v>
      </c>
      <c r="B66" t="s">
        <v>13</v>
      </c>
      <c r="C66" t="s">
        <v>42</v>
      </c>
      <c r="D66" t="s">
        <v>26</v>
      </c>
      <c r="E66" t="s">
        <v>43</v>
      </c>
      <c r="F66">
        <v>6</v>
      </c>
      <c r="G66">
        <v>85</v>
      </c>
      <c r="H66" t="str">
        <f>VLOOKUP(E66,Productos!$A$2:$D$11,2,FALSE)</f>
        <v>Accesorios</v>
      </c>
      <c r="I66">
        <f>VLOOKUP(E66,Productos!$A$2:$D$11,4,FALSE)</f>
        <v>50</v>
      </c>
      <c r="J66">
        <f t="shared" ref="J66:J97" si="8">F66*G66</f>
        <v>510</v>
      </c>
      <c r="K66">
        <f t="shared" ref="K66:K97" si="9">F66*(G66-I66)</f>
        <v>210</v>
      </c>
      <c r="L66">
        <f t="shared" ref="L66:L97" si="10">MONTH(A66)</f>
        <v>4</v>
      </c>
      <c r="M66" t="str">
        <f t="shared" ref="M66:M97" si="11">IF(J66&gt;=1000,"Grande",IF(J66&gt;=300,"Mediana","Pequeña"))</f>
        <v>Mediana</v>
      </c>
    </row>
    <row r="67" spans="1:13" x14ac:dyDescent="0.25">
      <c r="A67" s="7">
        <v>46120</v>
      </c>
      <c r="B67" t="s">
        <v>13</v>
      </c>
      <c r="C67" t="s">
        <v>42</v>
      </c>
      <c r="D67" t="s">
        <v>26</v>
      </c>
      <c r="E67" t="s">
        <v>45</v>
      </c>
      <c r="F67">
        <v>4</v>
      </c>
      <c r="G67">
        <v>260</v>
      </c>
      <c r="H67" t="str">
        <f>VLOOKUP(E67,Productos!$A$2:$D$11,2,FALSE)</f>
        <v>Oficina</v>
      </c>
      <c r="I67">
        <f>VLOOKUP(E67,Productos!$A$2:$D$11,4,FALSE)</f>
        <v>150</v>
      </c>
      <c r="J67">
        <f t="shared" si="8"/>
        <v>1040</v>
      </c>
      <c r="K67">
        <f t="shared" si="9"/>
        <v>440</v>
      </c>
      <c r="L67">
        <f t="shared" si="10"/>
        <v>4</v>
      </c>
      <c r="M67" t="str">
        <f t="shared" si="11"/>
        <v>Grande</v>
      </c>
    </row>
    <row r="68" spans="1:13" x14ac:dyDescent="0.25">
      <c r="A68" s="7">
        <v>46120</v>
      </c>
      <c r="B68" t="s">
        <v>11</v>
      </c>
      <c r="C68" t="s">
        <v>42</v>
      </c>
      <c r="D68" t="s">
        <v>28</v>
      </c>
      <c r="E68" t="s">
        <v>49</v>
      </c>
      <c r="F68">
        <v>3</v>
      </c>
      <c r="G68">
        <v>25</v>
      </c>
      <c r="H68" t="str">
        <f>VLOOKUP(E68,Productos!$A$2:$D$11,2,FALSE)</f>
        <v>Accesorios</v>
      </c>
      <c r="I68">
        <f>VLOOKUP(E68,Productos!$A$2:$D$11,4,FALSE)</f>
        <v>12</v>
      </c>
      <c r="J68">
        <f t="shared" si="8"/>
        <v>75</v>
      </c>
      <c r="K68">
        <f t="shared" si="9"/>
        <v>39</v>
      </c>
      <c r="L68">
        <f t="shared" si="10"/>
        <v>4</v>
      </c>
      <c r="M68" t="str">
        <f t="shared" si="11"/>
        <v>Pequeña</v>
      </c>
    </row>
    <row r="69" spans="1:13" x14ac:dyDescent="0.25">
      <c r="A69" s="7">
        <v>46122</v>
      </c>
      <c r="B69" t="s">
        <v>11</v>
      </c>
      <c r="C69" t="s">
        <v>42</v>
      </c>
      <c r="D69" t="s">
        <v>28</v>
      </c>
      <c r="E69" t="s">
        <v>43</v>
      </c>
      <c r="F69">
        <v>3</v>
      </c>
      <c r="G69">
        <v>85</v>
      </c>
      <c r="H69" t="str">
        <f>VLOOKUP(E69,Productos!$A$2:$D$11,2,FALSE)</f>
        <v>Accesorios</v>
      </c>
      <c r="I69">
        <f>VLOOKUP(E69,Productos!$A$2:$D$11,4,FALSE)</f>
        <v>50</v>
      </c>
      <c r="J69">
        <f t="shared" si="8"/>
        <v>255</v>
      </c>
      <c r="K69">
        <f t="shared" si="9"/>
        <v>105</v>
      </c>
      <c r="L69">
        <f t="shared" si="10"/>
        <v>4</v>
      </c>
      <c r="M69" t="str">
        <f t="shared" si="11"/>
        <v>Pequeña</v>
      </c>
    </row>
    <row r="70" spans="1:13" x14ac:dyDescent="0.25">
      <c r="A70" s="7">
        <v>46122</v>
      </c>
      <c r="B70" t="s">
        <v>13</v>
      </c>
      <c r="C70" t="s">
        <v>40</v>
      </c>
      <c r="D70" t="s">
        <v>26</v>
      </c>
      <c r="E70" t="s">
        <v>44</v>
      </c>
      <c r="F70">
        <v>1</v>
      </c>
      <c r="G70">
        <v>95</v>
      </c>
      <c r="H70" t="str">
        <f>VLOOKUP(E70,Productos!$A$2:$D$11,2,FALSE)</f>
        <v>Electrónica</v>
      </c>
      <c r="I70">
        <f>VLOOKUP(E70,Productos!$A$2:$D$11,4,FALSE)</f>
        <v>55</v>
      </c>
      <c r="J70">
        <f t="shared" si="8"/>
        <v>95</v>
      </c>
      <c r="K70">
        <f t="shared" si="9"/>
        <v>40</v>
      </c>
      <c r="L70">
        <f t="shared" si="10"/>
        <v>4</v>
      </c>
      <c r="M70" t="str">
        <f t="shared" si="11"/>
        <v>Pequeña</v>
      </c>
    </row>
    <row r="71" spans="1:13" x14ac:dyDescent="0.25">
      <c r="A71" s="7">
        <v>46124</v>
      </c>
      <c r="B71" t="s">
        <v>11</v>
      </c>
      <c r="C71" t="s">
        <v>40</v>
      </c>
      <c r="D71" t="s">
        <v>28</v>
      </c>
      <c r="E71" t="s">
        <v>49</v>
      </c>
      <c r="F71">
        <v>3</v>
      </c>
      <c r="G71">
        <v>25</v>
      </c>
      <c r="H71" t="str">
        <f>VLOOKUP(E71,Productos!$A$2:$D$11,2,FALSE)</f>
        <v>Accesorios</v>
      </c>
      <c r="I71">
        <f>VLOOKUP(E71,Productos!$A$2:$D$11,4,FALSE)</f>
        <v>12</v>
      </c>
      <c r="J71">
        <f t="shared" si="8"/>
        <v>75</v>
      </c>
      <c r="K71">
        <f t="shared" si="9"/>
        <v>39</v>
      </c>
      <c r="L71">
        <f t="shared" si="10"/>
        <v>4</v>
      </c>
      <c r="M71" t="str">
        <f t="shared" si="11"/>
        <v>Pequeña</v>
      </c>
    </row>
    <row r="72" spans="1:13" x14ac:dyDescent="0.25">
      <c r="A72" s="7">
        <v>46125</v>
      </c>
      <c r="B72" t="s">
        <v>11</v>
      </c>
      <c r="C72" t="s">
        <v>42</v>
      </c>
      <c r="D72" t="s">
        <v>28</v>
      </c>
      <c r="E72" t="s">
        <v>48</v>
      </c>
      <c r="F72">
        <v>2</v>
      </c>
      <c r="G72">
        <v>380</v>
      </c>
      <c r="H72" t="str">
        <f>VLOOKUP(E72,Productos!$A$2:$D$11,2,FALSE)</f>
        <v>Electrónica</v>
      </c>
      <c r="I72">
        <f>VLOOKUP(E72,Productos!$A$2:$D$11,4,FALSE)</f>
        <v>270</v>
      </c>
      <c r="J72">
        <f t="shared" si="8"/>
        <v>760</v>
      </c>
      <c r="K72">
        <f t="shared" si="9"/>
        <v>220</v>
      </c>
      <c r="L72">
        <f t="shared" si="10"/>
        <v>4</v>
      </c>
      <c r="M72" t="str">
        <f t="shared" si="11"/>
        <v>Mediana</v>
      </c>
    </row>
    <row r="73" spans="1:13" x14ac:dyDescent="0.25">
      <c r="A73" s="7">
        <v>46126</v>
      </c>
      <c r="B73" t="s">
        <v>9</v>
      </c>
      <c r="C73" t="s">
        <v>42</v>
      </c>
      <c r="D73" t="s">
        <v>24</v>
      </c>
      <c r="E73" t="s">
        <v>47</v>
      </c>
      <c r="F73">
        <v>3</v>
      </c>
      <c r="G73">
        <v>210</v>
      </c>
      <c r="H73" t="str">
        <f>VLOOKUP(E73,Productos!$A$2:$D$11,2,FALSE)</f>
        <v>Oficina</v>
      </c>
      <c r="I73">
        <f>VLOOKUP(E73,Productos!$A$2:$D$11,4,FALSE)</f>
        <v>140</v>
      </c>
      <c r="J73">
        <f t="shared" si="8"/>
        <v>630</v>
      </c>
      <c r="K73">
        <f t="shared" si="9"/>
        <v>210</v>
      </c>
      <c r="L73">
        <f t="shared" si="10"/>
        <v>4</v>
      </c>
      <c r="M73" t="str">
        <f t="shared" si="11"/>
        <v>Mediana</v>
      </c>
    </row>
    <row r="74" spans="1:13" x14ac:dyDescent="0.25">
      <c r="A74" s="7">
        <v>46129</v>
      </c>
      <c r="B74" t="s">
        <v>13</v>
      </c>
      <c r="C74" t="s">
        <v>40</v>
      </c>
      <c r="D74" t="s">
        <v>26</v>
      </c>
      <c r="E74" t="s">
        <v>46</v>
      </c>
      <c r="F74">
        <v>7</v>
      </c>
      <c r="G74">
        <v>60</v>
      </c>
      <c r="H74" t="str">
        <f>VLOOKUP(E74,Productos!$A$2:$D$11,2,FALSE)</f>
        <v>Accesorios</v>
      </c>
      <c r="I74">
        <f>VLOOKUP(E74,Productos!$A$2:$D$11,4,FALSE)</f>
        <v>32</v>
      </c>
      <c r="J74">
        <f t="shared" si="8"/>
        <v>420</v>
      </c>
      <c r="K74">
        <f t="shared" si="9"/>
        <v>196</v>
      </c>
      <c r="L74">
        <f t="shared" si="10"/>
        <v>4</v>
      </c>
      <c r="M74" t="str">
        <f t="shared" si="11"/>
        <v>Mediana</v>
      </c>
    </row>
    <row r="75" spans="1:13" x14ac:dyDescent="0.25">
      <c r="A75" s="7">
        <v>46131</v>
      </c>
      <c r="B75" t="s">
        <v>9</v>
      </c>
      <c r="C75" t="s">
        <v>40</v>
      </c>
      <c r="D75" t="s">
        <v>24</v>
      </c>
      <c r="E75" t="s">
        <v>41</v>
      </c>
      <c r="F75">
        <v>2</v>
      </c>
      <c r="G75">
        <v>320</v>
      </c>
      <c r="H75" t="str">
        <f>VLOOKUP(E75,Productos!$A$2:$D$11,2,FALSE)</f>
        <v>Electrónica</v>
      </c>
      <c r="I75">
        <f>VLOOKUP(E75,Productos!$A$2:$D$11,4,FALSE)</f>
        <v>210</v>
      </c>
      <c r="J75">
        <f t="shared" si="8"/>
        <v>640</v>
      </c>
      <c r="K75">
        <f t="shared" si="9"/>
        <v>220</v>
      </c>
      <c r="L75">
        <f t="shared" si="10"/>
        <v>4</v>
      </c>
      <c r="M75" t="str">
        <f t="shared" si="11"/>
        <v>Mediana</v>
      </c>
    </row>
    <row r="76" spans="1:13" x14ac:dyDescent="0.25">
      <c r="A76" s="7">
        <v>46132</v>
      </c>
      <c r="B76" t="s">
        <v>11</v>
      </c>
      <c r="C76" t="s">
        <v>40</v>
      </c>
      <c r="D76" t="s">
        <v>25</v>
      </c>
      <c r="E76" t="s">
        <v>41</v>
      </c>
      <c r="F76">
        <v>3</v>
      </c>
      <c r="G76">
        <v>320</v>
      </c>
      <c r="H76" t="str">
        <f>VLOOKUP(E76,Productos!$A$2:$D$11,2,FALSE)</f>
        <v>Electrónica</v>
      </c>
      <c r="I76">
        <f>VLOOKUP(E76,Productos!$A$2:$D$11,4,FALSE)</f>
        <v>210</v>
      </c>
      <c r="J76">
        <f t="shared" si="8"/>
        <v>960</v>
      </c>
      <c r="K76">
        <f t="shared" si="9"/>
        <v>330</v>
      </c>
      <c r="L76">
        <f t="shared" si="10"/>
        <v>4</v>
      </c>
      <c r="M76" t="str">
        <f t="shared" si="11"/>
        <v>Mediana</v>
      </c>
    </row>
    <row r="77" spans="1:13" x14ac:dyDescent="0.25">
      <c r="A77" s="7">
        <v>46132</v>
      </c>
      <c r="B77" t="s">
        <v>9</v>
      </c>
      <c r="C77" t="s">
        <v>40</v>
      </c>
      <c r="D77" t="s">
        <v>24</v>
      </c>
      <c r="E77" t="s">
        <v>51</v>
      </c>
      <c r="F77">
        <v>1</v>
      </c>
      <c r="G77">
        <v>1200</v>
      </c>
      <c r="H77" t="str">
        <f>VLOOKUP(E77,Productos!$A$2:$D$11,2,FALSE)</f>
        <v>Electrónica</v>
      </c>
      <c r="I77">
        <f>VLOOKUP(E77,Productos!$A$2:$D$11,4,FALSE)</f>
        <v>900</v>
      </c>
      <c r="J77">
        <f t="shared" si="8"/>
        <v>1200</v>
      </c>
      <c r="K77">
        <f t="shared" si="9"/>
        <v>300</v>
      </c>
      <c r="L77">
        <f t="shared" si="10"/>
        <v>4</v>
      </c>
      <c r="M77" t="str">
        <f t="shared" si="11"/>
        <v>Grande</v>
      </c>
    </row>
    <row r="78" spans="1:13" x14ac:dyDescent="0.25">
      <c r="A78" s="7">
        <v>46137</v>
      </c>
      <c r="B78" t="s">
        <v>15</v>
      </c>
      <c r="C78" t="s">
        <v>42</v>
      </c>
      <c r="D78" t="s">
        <v>27</v>
      </c>
      <c r="E78" t="s">
        <v>46</v>
      </c>
      <c r="F78">
        <v>6</v>
      </c>
      <c r="G78">
        <v>60</v>
      </c>
      <c r="H78" t="str">
        <f>VLOOKUP(E78,Productos!$A$2:$D$11,2,FALSE)</f>
        <v>Accesorios</v>
      </c>
      <c r="I78">
        <f>VLOOKUP(E78,Productos!$A$2:$D$11,4,FALSE)</f>
        <v>32</v>
      </c>
      <c r="J78">
        <f t="shared" si="8"/>
        <v>360</v>
      </c>
      <c r="K78">
        <f t="shared" si="9"/>
        <v>168</v>
      </c>
      <c r="L78">
        <f t="shared" si="10"/>
        <v>4</v>
      </c>
      <c r="M78" t="str">
        <f t="shared" si="11"/>
        <v>Mediana</v>
      </c>
    </row>
    <row r="79" spans="1:13" x14ac:dyDescent="0.25">
      <c r="A79" s="7">
        <v>46137</v>
      </c>
      <c r="B79" t="s">
        <v>11</v>
      </c>
      <c r="C79" t="s">
        <v>40</v>
      </c>
      <c r="D79" t="s">
        <v>25</v>
      </c>
      <c r="E79" t="s">
        <v>43</v>
      </c>
      <c r="F79">
        <v>4</v>
      </c>
      <c r="G79">
        <v>85</v>
      </c>
      <c r="H79" t="str">
        <f>VLOOKUP(E79,Productos!$A$2:$D$11,2,FALSE)</f>
        <v>Accesorios</v>
      </c>
      <c r="I79">
        <f>VLOOKUP(E79,Productos!$A$2:$D$11,4,FALSE)</f>
        <v>50</v>
      </c>
      <c r="J79">
        <f t="shared" si="8"/>
        <v>340</v>
      </c>
      <c r="K79">
        <f t="shared" si="9"/>
        <v>140</v>
      </c>
      <c r="L79">
        <f t="shared" si="10"/>
        <v>4</v>
      </c>
      <c r="M79" t="str">
        <f t="shared" si="11"/>
        <v>Mediana</v>
      </c>
    </row>
    <row r="80" spans="1:13" x14ac:dyDescent="0.25">
      <c r="A80" s="7">
        <v>46139</v>
      </c>
      <c r="B80" t="s">
        <v>13</v>
      </c>
      <c r="C80" t="s">
        <v>40</v>
      </c>
      <c r="D80" t="s">
        <v>26</v>
      </c>
      <c r="E80" t="s">
        <v>44</v>
      </c>
      <c r="F80">
        <v>1</v>
      </c>
      <c r="G80">
        <v>95</v>
      </c>
      <c r="H80" t="str">
        <f>VLOOKUP(E80,Productos!$A$2:$D$11,2,FALSE)</f>
        <v>Electrónica</v>
      </c>
      <c r="I80">
        <f>VLOOKUP(E80,Productos!$A$2:$D$11,4,FALSE)</f>
        <v>55</v>
      </c>
      <c r="J80">
        <f t="shared" si="8"/>
        <v>95</v>
      </c>
      <c r="K80">
        <f t="shared" si="9"/>
        <v>40</v>
      </c>
      <c r="L80">
        <f t="shared" si="10"/>
        <v>4</v>
      </c>
      <c r="M80" t="str">
        <f t="shared" si="11"/>
        <v>Pequeña</v>
      </c>
    </row>
    <row r="81" spans="1:13" x14ac:dyDescent="0.25">
      <c r="A81" s="7">
        <v>46139</v>
      </c>
      <c r="B81" t="s">
        <v>11</v>
      </c>
      <c r="C81" t="s">
        <v>40</v>
      </c>
      <c r="D81" t="s">
        <v>28</v>
      </c>
      <c r="E81" t="s">
        <v>43</v>
      </c>
      <c r="F81">
        <v>6</v>
      </c>
      <c r="G81">
        <v>85</v>
      </c>
      <c r="H81" t="str">
        <f>VLOOKUP(E81,Productos!$A$2:$D$11,2,FALSE)</f>
        <v>Accesorios</v>
      </c>
      <c r="I81">
        <f>VLOOKUP(E81,Productos!$A$2:$D$11,4,FALSE)</f>
        <v>50</v>
      </c>
      <c r="J81">
        <f t="shared" si="8"/>
        <v>510</v>
      </c>
      <c r="K81">
        <f t="shared" si="9"/>
        <v>210</v>
      </c>
      <c r="L81">
        <f t="shared" si="10"/>
        <v>4</v>
      </c>
      <c r="M81" t="str">
        <f t="shared" si="11"/>
        <v>Mediana</v>
      </c>
    </row>
    <row r="82" spans="1:13" x14ac:dyDescent="0.25">
      <c r="A82" s="7">
        <v>46144</v>
      </c>
      <c r="B82" t="s">
        <v>9</v>
      </c>
      <c r="C82" t="s">
        <v>40</v>
      </c>
      <c r="D82" t="s">
        <v>24</v>
      </c>
      <c r="E82" t="s">
        <v>44</v>
      </c>
      <c r="F82">
        <v>6</v>
      </c>
      <c r="G82">
        <v>95</v>
      </c>
      <c r="H82" t="str">
        <f>VLOOKUP(E82,Productos!$A$2:$D$11,2,FALSE)</f>
        <v>Electrónica</v>
      </c>
      <c r="I82">
        <f>VLOOKUP(E82,Productos!$A$2:$D$11,4,FALSE)</f>
        <v>55</v>
      </c>
      <c r="J82">
        <f t="shared" si="8"/>
        <v>570</v>
      </c>
      <c r="K82">
        <f t="shared" si="9"/>
        <v>240</v>
      </c>
      <c r="L82">
        <f t="shared" si="10"/>
        <v>5</v>
      </c>
      <c r="M82" t="str">
        <f t="shared" si="11"/>
        <v>Mediana</v>
      </c>
    </row>
    <row r="83" spans="1:13" x14ac:dyDescent="0.25">
      <c r="A83" s="7">
        <v>46145</v>
      </c>
      <c r="B83" t="s">
        <v>9</v>
      </c>
      <c r="C83" t="s">
        <v>40</v>
      </c>
      <c r="D83" t="s">
        <v>24</v>
      </c>
      <c r="E83" t="s">
        <v>41</v>
      </c>
      <c r="F83">
        <v>3</v>
      </c>
      <c r="G83">
        <v>320</v>
      </c>
      <c r="H83" t="str">
        <f>VLOOKUP(E83,Productos!$A$2:$D$11,2,FALSE)</f>
        <v>Electrónica</v>
      </c>
      <c r="I83">
        <f>VLOOKUP(E83,Productos!$A$2:$D$11,4,FALSE)</f>
        <v>210</v>
      </c>
      <c r="J83">
        <f t="shared" si="8"/>
        <v>960</v>
      </c>
      <c r="K83">
        <f t="shared" si="9"/>
        <v>330</v>
      </c>
      <c r="L83">
        <f t="shared" si="10"/>
        <v>5</v>
      </c>
      <c r="M83" t="str">
        <f t="shared" si="11"/>
        <v>Mediana</v>
      </c>
    </row>
    <row r="84" spans="1:13" x14ac:dyDescent="0.25">
      <c r="A84" s="7">
        <v>46145</v>
      </c>
      <c r="B84" t="s">
        <v>11</v>
      </c>
      <c r="C84" t="s">
        <v>40</v>
      </c>
      <c r="D84" t="s">
        <v>28</v>
      </c>
      <c r="E84" t="s">
        <v>49</v>
      </c>
      <c r="F84">
        <v>1</v>
      </c>
      <c r="G84">
        <v>25</v>
      </c>
      <c r="H84" t="str">
        <f>VLOOKUP(E84,Productos!$A$2:$D$11,2,FALSE)</f>
        <v>Accesorios</v>
      </c>
      <c r="I84">
        <f>VLOOKUP(E84,Productos!$A$2:$D$11,4,FALSE)</f>
        <v>12</v>
      </c>
      <c r="J84">
        <f t="shared" si="8"/>
        <v>25</v>
      </c>
      <c r="K84">
        <f t="shared" si="9"/>
        <v>13</v>
      </c>
      <c r="L84">
        <f t="shared" si="10"/>
        <v>5</v>
      </c>
      <c r="M84" t="str">
        <f t="shared" si="11"/>
        <v>Pequeña</v>
      </c>
    </row>
    <row r="85" spans="1:13" x14ac:dyDescent="0.25">
      <c r="A85" s="7">
        <v>46146</v>
      </c>
      <c r="B85" t="s">
        <v>11</v>
      </c>
      <c r="C85" t="s">
        <v>40</v>
      </c>
      <c r="D85" t="s">
        <v>28</v>
      </c>
      <c r="E85" t="s">
        <v>48</v>
      </c>
      <c r="F85">
        <v>1</v>
      </c>
      <c r="G85">
        <v>380</v>
      </c>
      <c r="H85" t="str">
        <f>VLOOKUP(E85,Productos!$A$2:$D$11,2,FALSE)</f>
        <v>Electrónica</v>
      </c>
      <c r="I85">
        <f>VLOOKUP(E85,Productos!$A$2:$D$11,4,FALSE)</f>
        <v>270</v>
      </c>
      <c r="J85">
        <f t="shared" si="8"/>
        <v>380</v>
      </c>
      <c r="K85">
        <f t="shared" si="9"/>
        <v>110</v>
      </c>
      <c r="L85">
        <f t="shared" si="10"/>
        <v>5</v>
      </c>
      <c r="M85" t="str">
        <f t="shared" si="11"/>
        <v>Mediana</v>
      </c>
    </row>
    <row r="86" spans="1:13" x14ac:dyDescent="0.25">
      <c r="A86" s="7">
        <v>46150</v>
      </c>
      <c r="B86" t="s">
        <v>9</v>
      </c>
      <c r="C86" t="s">
        <v>42</v>
      </c>
      <c r="D86" t="s">
        <v>24</v>
      </c>
      <c r="E86" t="s">
        <v>45</v>
      </c>
      <c r="F86">
        <v>4</v>
      </c>
      <c r="G86">
        <v>260</v>
      </c>
      <c r="H86" t="str">
        <f>VLOOKUP(E86,Productos!$A$2:$D$11,2,FALSE)</f>
        <v>Oficina</v>
      </c>
      <c r="I86">
        <f>VLOOKUP(E86,Productos!$A$2:$D$11,4,FALSE)</f>
        <v>150</v>
      </c>
      <c r="J86">
        <f t="shared" si="8"/>
        <v>1040</v>
      </c>
      <c r="K86">
        <f t="shared" si="9"/>
        <v>440</v>
      </c>
      <c r="L86">
        <f t="shared" si="10"/>
        <v>5</v>
      </c>
      <c r="M86" t="str">
        <f t="shared" si="11"/>
        <v>Grande</v>
      </c>
    </row>
    <row r="87" spans="1:13" x14ac:dyDescent="0.25">
      <c r="A87" s="7">
        <v>46151</v>
      </c>
      <c r="B87" t="s">
        <v>9</v>
      </c>
      <c r="C87" t="s">
        <v>42</v>
      </c>
      <c r="D87" t="s">
        <v>23</v>
      </c>
      <c r="E87" t="s">
        <v>48</v>
      </c>
      <c r="F87">
        <v>3</v>
      </c>
      <c r="G87">
        <v>380</v>
      </c>
      <c r="H87" t="str">
        <f>VLOOKUP(E87,Productos!$A$2:$D$11,2,FALSE)</f>
        <v>Electrónica</v>
      </c>
      <c r="I87">
        <f>VLOOKUP(E87,Productos!$A$2:$D$11,4,FALSE)</f>
        <v>270</v>
      </c>
      <c r="J87">
        <f t="shared" si="8"/>
        <v>1140</v>
      </c>
      <c r="K87">
        <f t="shared" si="9"/>
        <v>330</v>
      </c>
      <c r="L87">
        <f t="shared" si="10"/>
        <v>5</v>
      </c>
      <c r="M87" t="str">
        <f t="shared" si="11"/>
        <v>Grande</v>
      </c>
    </row>
    <row r="88" spans="1:13" x14ac:dyDescent="0.25">
      <c r="A88" s="7">
        <v>46153</v>
      </c>
      <c r="B88" t="s">
        <v>9</v>
      </c>
      <c r="C88" t="s">
        <v>40</v>
      </c>
      <c r="D88" t="s">
        <v>23</v>
      </c>
      <c r="E88" t="s">
        <v>47</v>
      </c>
      <c r="F88">
        <v>8</v>
      </c>
      <c r="G88">
        <v>210</v>
      </c>
      <c r="H88" t="str">
        <f>VLOOKUP(E88,Productos!$A$2:$D$11,2,FALSE)</f>
        <v>Oficina</v>
      </c>
      <c r="I88">
        <f>VLOOKUP(E88,Productos!$A$2:$D$11,4,FALSE)</f>
        <v>140</v>
      </c>
      <c r="J88">
        <f t="shared" si="8"/>
        <v>1680</v>
      </c>
      <c r="K88">
        <f t="shared" si="9"/>
        <v>560</v>
      </c>
      <c r="L88">
        <f t="shared" si="10"/>
        <v>5</v>
      </c>
      <c r="M88" t="str">
        <f t="shared" si="11"/>
        <v>Grande</v>
      </c>
    </row>
    <row r="89" spans="1:13" x14ac:dyDescent="0.25">
      <c r="A89" s="7">
        <v>46153</v>
      </c>
      <c r="B89" t="s">
        <v>9</v>
      </c>
      <c r="C89" t="s">
        <v>42</v>
      </c>
      <c r="D89" t="s">
        <v>23</v>
      </c>
      <c r="E89" t="s">
        <v>51</v>
      </c>
      <c r="F89">
        <v>1</v>
      </c>
      <c r="G89">
        <v>1200</v>
      </c>
      <c r="H89" t="str">
        <f>VLOOKUP(E89,Productos!$A$2:$D$11,2,FALSE)</f>
        <v>Electrónica</v>
      </c>
      <c r="I89">
        <f>VLOOKUP(E89,Productos!$A$2:$D$11,4,FALSE)</f>
        <v>900</v>
      </c>
      <c r="J89">
        <f t="shared" si="8"/>
        <v>1200</v>
      </c>
      <c r="K89">
        <f t="shared" si="9"/>
        <v>300</v>
      </c>
      <c r="L89">
        <f t="shared" si="10"/>
        <v>5</v>
      </c>
      <c r="M89" t="str">
        <f t="shared" si="11"/>
        <v>Grande</v>
      </c>
    </row>
    <row r="90" spans="1:13" x14ac:dyDescent="0.25">
      <c r="A90" s="7">
        <v>46153</v>
      </c>
      <c r="B90" t="s">
        <v>9</v>
      </c>
      <c r="C90" t="s">
        <v>42</v>
      </c>
      <c r="D90" t="s">
        <v>24</v>
      </c>
      <c r="E90" t="s">
        <v>46</v>
      </c>
      <c r="F90">
        <v>8</v>
      </c>
      <c r="G90">
        <v>60</v>
      </c>
      <c r="H90" t="str">
        <f>VLOOKUP(E90,Productos!$A$2:$D$11,2,FALSE)</f>
        <v>Accesorios</v>
      </c>
      <c r="I90">
        <f>VLOOKUP(E90,Productos!$A$2:$D$11,4,FALSE)</f>
        <v>32</v>
      </c>
      <c r="J90">
        <f t="shared" si="8"/>
        <v>480</v>
      </c>
      <c r="K90">
        <f t="shared" si="9"/>
        <v>224</v>
      </c>
      <c r="L90">
        <f t="shared" si="10"/>
        <v>5</v>
      </c>
      <c r="M90" t="str">
        <f t="shared" si="11"/>
        <v>Mediana</v>
      </c>
    </row>
    <row r="91" spans="1:13" x14ac:dyDescent="0.25">
      <c r="A91" s="7">
        <v>46154</v>
      </c>
      <c r="B91" t="s">
        <v>15</v>
      </c>
      <c r="C91" t="s">
        <v>40</v>
      </c>
      <c r="D91" t="s">
        <v>27</v>
      </c>
      <c r="E91" t="s">
        <v>43</v>
      </c>
      <c r="F91">
        <v>8</v>
      </c>
      <c r="G91">
        <v>85</v>
      </c>
      <c r="H91" t="str">
        <f>VLOOKUP(E91,Productos!$A$2:$D$11,2,FALSE)</f>
        <v>Accesorios</v>
      </c>
      <c r="I91">
        <f>VLOOKUP(E91,Productos!$A$2:$D$11,4,FALSE)</f>
        <v>50</v>
      </c>
      <c r="J91">
        <f t="shared" si="8"/>
        <v>680</v>
      </c>
      <c r="K91">
        <f t="shared" si="9"/>
        <v>280</v>
      </c>
      <c r="L91">
        <f t="shared" si="10"/>
        <v>5</v>
      </c>
      <c r="M91" t="str">
        <f t="shared" si="11"/>
        <v>Mediana</v>
      </c>
    </row>
    <row r="92" spans="1:13" x14ac:dyDescent="0.25">
      <c r="A92" s="7">
        <v>46154</v>
      </c>
      <c r="B92" t="s">
        <v>11</v>
      </c>
      <c r="C92" t="s">
        <v>40</v>
      </c>
      <c r="D92" t="s">
        <v>25</v>
      </c>
      <c r="E92" t="s">
        <v>49</v>
      </c>
      <c r="F92">
        <v>7</v>
      </c>
      <c r="G92">
        <v>25</v>
      </c>
      <c r="H92" t="str">
        <f>VLOOKUP(E92,Productos!$A$2:$D$11,2,FALSE)</f>
        <v>Accesorios</v>
      </c>
      <c r="I92">
        <f>VLOOKUP(E92,Productos!$A$2:$D$11,4,FALSE)</f>
        <v>12</v>
      </c>
      <c r="J92">
        <f t="shared" si="8"/>
        <v>175</v>
      </c>
      <c r="K92">
        <f t="shared" si="9"/>
        <v>91</v>
      </c>
      <c r="L92">
        <f t="shared" si="10"/>
        <v>5</v>
      </c>
      <c r="M92" t="str">
        <f t="shared" si="11"/>
        <v>Pequeña</v>
      </c>
    </row>
    <row r="93" spans="1:13" x14ac:dyDescent="0.25">
      <c r="A93" s="7">
        <v>46154</v>
      </c>
      <c r="B93" t="s">
        <v>11</v>
      </c>
      <c r="C93" t="s">
        <v>40</v>
      </c>
      <c r="D93" t="s">
        <v>25</v>
      </c>
      <c r="E93" t="s">
        <v>49</v>
      </c>
      <c r="F93">
        <v>6</v>
      </c>
      <c r="G93">
        <v>25</v>
      </c>
      <c r="H93" t="str">
        <f>VLOOKUP(E93,Productos!$A$2:$D$11,2,FALSE)</f>
        <v>Accesorios</v>
      </c>
      <c r="I93">
        <f>VLOOKUP(E93,Productos!$A$2:$D$11,4,FALSE)</f>
        <v>12</v>
      </c>
      <c r="J93">
        <f t="shared" si="8"/>
        <v>150</v>
      </c>
      <c r="K93">
        <f t="shared" si="9"/>
        <v>78</v>
      </c>
      <c r="L93">
        <f t="shared" si="10"/>
        <v>5</v>
      </c>
      <c r="M93" t="str">
        <f t="shared" si="11"/>
        <v>Pequeña</v>
      </c>
    </row>
    <row r="94" spans="1:13" x14ac:dyDescent="0.25">
      <c r="A94" s="7">
        <v>46154</v>
      </c>
      <c r="B94" t="s">
        <v>9</v>
      </c>
      <c r="C94" t="s">
        <v>42</v>
      </c>
      <c r="D94" t="s">
        <v>24</v>
      </c>
      <c r="E94" t="s">
        <v>46</v>
      </c>
      <c r="F94">
        <v>1</v>
      </c>
      <c r="G94">
        <v>60</v>
      </c>
      <c r="H94" t="str">
        <f>VLOOKUP(E94,Productos!$A$2:$D$11,2,FALSE)</f>
        <v>Accesorios</v>
      </c>
      <c r="I94">
        <f>VLOOKUP(E94,Productos!$A$2:$D$11,4,FALSE)</f>
        <v>32</v>
      </c>
      <c r="J94">
        <f t="shared" si="8"/>
        <v>60</v>
      </c>
      <c r="K94">
        <f t="shared" si="9"/>
        <v>28</v>
      </c>
      <c r="L94">
        <f t="shared" si="10"/>
        <v>5</v>
      </c>
      <c r="M94" t="str">
        <f t="shared" si="11"/>
        <v>Pequeña</v>
      </c>
    </row>
    <row r="95" spans="1:13" x14ac:dyDescent="0.25">
      <c r="A95" s="7">
        <v>46157</v>
      </c>
      <c r="B95" t="s">
        <v>11</v>
      </c>
      <c r="C95" t="s">
        <v>40</v>
      </c>
      <c r="D95" t="s">
        <v>28</v>
      </c>
      <c r="E95" t="s">
        <v>43</v>
      </c>
      <c r="F95">
        <v>1</v>
      </c>
      <c r="G95">
        <v>85</v>
      </c>
      <c r="H95" t="str">
        <f>VLOOKUP(E95,Productos!$A$2:$D$11,2,FALSE)</f>
        <v>Accesorios</v>
      </c>
      <c r="I95">
        <f>VLOOKUP(E95,Productos!$A$2:$D$11,4,FALSE)</f>
        <v>50</v>
      </c>
      <c r="J95">
        <f t="shared" si="8"/>
        <v>85</v>
      </c>
      <c r="K95">
        <f t="shared" si="9"/>
        <v>35</v>
      </c>
      <c r="L95">
        <f t="shared" si="10"/>
        <v>5</v>
      </c>
      <c r="M95" t="str">
        <f t="shared" si="11"/>
        <v>Pequeña</v>
      </c>
    </row>
    <row r="96" spans="1:13" x14ac:dyDescent="0.25">
      <c r="A96" s="7">
        <v>46158</v>
      </c>
      <c r="B96" t="s">
        <v>9</v>
      </c>
      <c r="C96" t="s">
        <v>42</v>
      </c>
      <c r="D96" t="s">
        <v>24</v>
      </c>
      <c r="E96" t="s">
        <v>41</v>
      </c>
      <c r="F96">
        <v>3</v>
      </c>
      <c r="G96">
        <v>320</v>
      </c>
      <c r="H96" t="str">
        <f>VLOOKUP(E96,Productos!$A$2:$D$11,2,FALSE)</f>
        <v>Electrónica</v>
      </c>
      <c r="I96">
        <f>VLOOKUP(E96,Productos!$A$2:$D$11,4,FALSE)</f>
        <v>210</v>
      </c>
      <c r="J96">
        <f t="shared" si="8"/>
        <v>960</v>
      </c>
      <c r="K96">
        <f t="shared" si="9"/>
        <v>330</v>
      </c>
      <c r="L96">
        <f t="shared" si="10"/>
        <v>5</v>
      </c>
      <c r="M96" t="str">
        <f t="shared" si="11"/>
        <v>Mediana</v>
      </c>
    </row>
    <row r="97" spans="1:13" x14ac:dyDescent="0.25">
      <c r="A97" s="7">
        <v>46159</v>
      </c>
      <c r="B97" t="s">
        <v>11</v>
      </c>
      <c r="C97" t="s">
        <v>42</v>
      </c>
      <c r="D97" t="s">
        <v>28</v>
      </c>
      <c r="E97" t="s">
        <v>46</v>
      </c>
      <c r="F97">
        <v>5</v>
      </c>
      <c r="G97">
        <v>60</v>
      </c>
      <c r="H97" t="str">
        <f>VLOOKUP(E97,Productos!$A$2:$D$11,2,FALSE)</f>
        <v>Accesorios</v>
      </c>
      <c r="I97">
        <f>VLOOKUP(E97,Productos!$A$2:$D$11,4,FALSE)</f>
        <v>32</v>
      </c>
      <c r="J97">
        <f t="shared" si="8"/>
        <v>300</v>
      </c>
      <c r="K97">
        <f t="shared" si="9"/>
        <v>140</v>
      </c>
      <c r="L97">
        <f t="shared" si="10"/>
        <v>5</v>
      </c>
      <c r="M97" t="str">
        <f t="shared" si="11"/>
        <v>Mediana</v>
      </c>
    </row>
    <row r="98" spans="1:13" x14ac:dyDescent="0.25">
      <c r="A98" s="7">
        <v>46162</v>
      </c>
      <c r="B98" t="s">
        <v>9</v>
      </c>
      <c r="C98" t="s">
        <v>40</v>
      </c>
      <c r="D98" t="s">
        <v>24</v>
      </c>
      <c r="E98" t="s">
        <v>46</v>
      </c>
      <c r="F98">
        <v>7</v>
      </c>
      <c r="G98">
        <v>60</v>
      </c>
      <c r="H98" t="str">
        <f>VLOOKUP(E98,Productos!$A$2:$D$11,2,FALSE)</f>
        <v>Accesorios</v>
      </c>
      <c r="I98">
        <f>VLOOKUP(E98,Productos!$A$2:$D$11,4,FALSE)</f>
        <v>32</v>
      </c>
      <c r="J98">
        <f t="shared" ref="J98:J121" si="12">F98*G98</f>
        <v>420</v>
      </c>
      <c r="K98">
        <f t="shared" ref="K98:K121" si="13">F98*(G98-I98)</f>
        <v>196</v>
      </c>
      <c r="L98">
        <f t="shared" ref="L98:L121" si="14">MONTH(A98)</f>
        <v>5</v>
      </c>
      <c r="M98" t="str">
        <f t="shared" ref="M98:M121" si="15">IF(J98&gt;=1000,"Grande",IF(J98&gt;=300,"Mediana","Pequeña"))</f>
        <v>Mediana</v>
      </c>
    </row>
    <row r="99" spans="1:13" x14ac:dyDescent="0.25">
      <c r="A99" s="7">
        <v>46163</v>
      </c>
      <c r="B99" t="s">
        <v>9</v>
      </c>
      <c r="C99" t="s">
        <v>40</v>
      </c>
      <c r="D99" t="s">
        <v>24</v>
      </c>
      <c r="E99" t="s">
        <v>43</v>
      </c>
      <c r="F99">
        <v>6</v>
      </c>
      <c r="G99">
        <v>85</v>
      </c>
      <c r="H99" t="str">
        <f>VLOOKUP(E99,Productos!$A$2:$D$11,2,FALSE)</f>
        <v>Accesorios</v>
      </c>
      <c r="I99">
        <f>VLOOKUP(E99,Productos!$A$2:$D$11,4,FALSE)</f>
        <v>50</v>
      </c>
      <c r="J99">
        <f t="shared" si="12"/>
        <v>510</v>
      </c>
      <c r="K99">
        <f t="shared" si="13"/>
        <v>210</v>
      </c>
      <c r="L99">
        <f t="shared" si="14"/>
        <v>5</v>
      </c>
      <c r="M99" t="str">
        <f t="shared" si="15"/>
        <v>Mediana</v>
      </c>
    </row>
    <row r="100" spans="1:13" x14ac:dyDescent="0.25">
      <c r="A100" s="7">
        <v>46164</v>
      </c>
      <c r="B100" t="s">
        <v>11</v>
      </c>
      <c r="C100" t="s">
        <v>40</v>
      </c>
      <c r="D100" t="s">
        <v>28</v>
      </c>
      <c r="E100" t="s">
        <v>50</v>
      </c>
      <c r="F100">
        <v>2</v>
      </c>
      <c r="G100">
        <v>480</v>
      </c>
      <c r="H100" t="str">
        <f>VLOOKUP(E100,Productos!$A$2:$D$11,2,FALSE)</f>
        <v>Oficina</v>
      </c>
      <c r="I100">
        <f>VLOOKUP(E100,Productos!$A$2:$D$11,4,FALSE)</f>
        <v>300</v>
      </c>
      <c r="J100">
        <f t="shared" si="12"/>
        <v>960</v>
      </c>
      <c r="K100">
        <f t="shared" si="13"/>
        <v>360</v>
      </c>
      <c r="L100">
        <f t="shared" si="14"/>
        <v>5</v>
      </c>
      <c r="M100" t="str">
        <f t="shared" si="15"/>
        <v>Mediana</v>
      </c>
    </row>
    <row r="101" spans="1:13" x14ac:dyDescent="0.25">
      <c r="A101" s="7">
        <v>46165</v>
      </c>
      <c r="B101" t="s">
        <v>9</v>
      </c>
      <c r="C101" t="s">
        <v>42</v>
      </c>
      <c r="D101" t="s">
        <v>24</v>
      </c>
      <c r="E101" t="s">
        <v>48</v>
      </c>
      <c r="F101">
        <v>3</v>
      </c>
      <c r="G101">
        <v>380</v>
      </c>
      <c r="H101" t="str">
        <f>VLOOKUP(E101,Productos!$A$2:$D$11,2,FALSE)</f>
        <v>Electrónica</v>
      </c>
      <c r="I101">
        <f>VLOOKUP(E101,Productos!$A$2:$D$11,4,FALSE)</f>
        <v>270</v>
      </c>
      <c r="J101">
        <f t="shared" si="12"/>
        <v>1140</v>
      </c>
      <c r="K101">
        <f t="shared" si="13"/>
        <v>330</v>
      </c>
      <c r="L101">
        <f t="shared" si="14"/>
        <v>5</v>
      </c>
      <c r="M101" t="str">
        <f t="shared" si="15"/>
        <v>Grande</v>
      </c>
    </row>
    <row r="102" spans="1:13" x14ac:dyDescent="0.25">
      <c r="A102" s="7">
        <v>46175</v>
      </c>
      <c r="B102" t="s">
        <v>11</v>
      </c>
      <c r="C102" t="s">
        <v>42</v>
      </c>
      <c r="D102" t="s">
        <v>25</v>
      </c>
      <c r="E102" t="s">
        <v>49</v>
      </c>
      <c r="F102">
        <v>1</v>
      </c>
      <c r="G102">
        <v>25</v>
      </c>
      <c r="H102" t="str">
        <f>VLOOKUP(E102,Productos!$A$2:$D$11,2,FALSE)</f>
        <v>Accesorios</v>
      </c>
      <c r="I102">
        <f>VLOOKUP(E102,Productos!$A$2:$D$11,4,FALSE)</f>
        <v>12</v>
      </c>
      <c r="J102">
        <f t="shared" si="12"/>
        <v>25</v>
      </c>
      <c r="K102">
        <f t="shared" si="13"/>
        <v>13</v>
      </c>
      <c r="L102">
        <f t="shared" si="14"/>
        <v>6</v>
      </c>
      <c r="M102" t="str">
        <f t="shared" si="15"/>
        <v>Pequeña</v>
      </c>
    </row>
    <row r="103" spans="1:13" x14ac:dyDescent="0.25">
      <c r="A103" s="7">
        <v>46177</v>
      </c>
      <c r="B103" t="s">
        <v>9</v>
      </c>
      <c r="C103" t="s">
        <v>42</v>
      </c>
      <c r="D103" t="s">
        <v>24</v>
      </c>
      <c r="E103" t="s">
        <v>49</v>
      </c>
      <c r="F103">
        <v>6</v>
      </c>
      <c r="G103">
        <v>25</v>
      </c>
      <c r="H103" t="str">
        <f>VLOOKUP(E103,Productos!$A$2:$D$11,2,FALSE)</f>
        <v>Accesorios</v>
      </c>
      <c r="I103">
        <f>VLOOKUP(E103,Productos!$A$2:$D$11,4,FALSE)</f>
        <v>12</v>
      </c>
      <c r="J103">
        <f t="shared" si="12"/>
        <v>150</v>
      </c>
      <c r="K103">
        <f t="shared" si="13"/>
        <v>78</v>
      </c>
      <c r="L103">
        <f t="shared" si="14"/>
        <v>6</v>
      </c>
      <c r="M103" t="str">
        <f t="shared" si="15"/>
        <v>Pequeña</v>
      </c>
    </row>
    <row r="104" spans="1:13" x14ac:dyDescent="0.25">
      <c r="A104" s="7">
        <v>46178</v>
      </c>
      <c r="B104" t="s">
        <v>11</v>
      </c>
      <c r="C104" t="s">
        <v>42</v>
      </c>
      <c r="D104" t="s">
        <v>28</v>
      </c>
      <c r="E104" t="s">
        <v>43</v>
      </c>
      <c r="F104">
        <v>8</v>
      </c>
      <c r="G104">
        <v>85</v>
      </c>
      <c r="H104" t="str">
        <f>VLOOKUP(E104,Productos!$A$2:$D$11,2,FALSE)</f>
        <v>Accesorios</v>
      </c>
      <c r="I104">
        <f>VLOOKUP(E104,Productos!$A$2:$D$11,4,FALSE)</f>
        <v>50</v>
      </c>
      <c r="J104">
        <f t="shared" si="12"/>
        <v>680</v>
      </c>
      <c r="K104">
        <f t="shared" si="13"/>
        <v>280</v>
      </c>
      <c r="L104">
        <f t="shared" si="14"/>
        <v>6</v>
      </c>
      <c r="M104" t="str">
        <f t="shared" si="15"/>
        <v>Mediana</v>
      </c>
    </row>
    <row r="105" spans="1:13" x14ac:dyDescent="0.25">
      <c r="A105" s="7">
        <v>46179</v>
      </c>
      <c r="B105" t="s">
        <v>13</v>
      </c>
      <c r="C105" t="s">
        <v>40</v>
      </c>
      <c r="D105" t="s">
        <v>26</v>
      </c>
      <c r="E105" t="s">
        <v>46</v>
      </c>
      <c r="F105">
        <v>4</v>
      </c>
      <c r="G105">
        <v>60</v>
      </c>
      <c r="H105" t="str">
        <f>VLOOKUP(E105,Productos!$A$2:$D$11,2,FALSE)</f>
        <v>Accesorios</v>
      </c>
      <c r="I105">
        <f>VLOOKUP(E105,Productos!$A$2:$D$11,4,FALSE)</f>
        <v>32</v>
      </c>
      <c r="J105">
        <f t="shared" si="12"/>
        <v>240</v>
      </c>
      <c r="K105">
        <f t="shared" si="13"/>
        <v>112</v>
      </c>
      <c r="L105">
        <f t="shared" si="14"/>
        <v>6</v>
      </c>
      <c r="M105" t="str">
        <f t="shared" si="15"/>
        <v>Pequeña</v>
      </c>
    </row>
    <row r="106" spans="1:13" x14ac:dyDescent="0.25">
      <c r="A106" s="7">
        <v>46180</v>
      </c>
      <c r="B106" t="s">
        <v>9</v>
      </c>
      <c r="C106" t="s">
        <v>40</v>
      </c>
      <c r="D106" t="s">
        <v>23</v>
      </c>
      <c r="E106" t="s">
        <v>43</v>
      </c>
      <c r="F106">
        <v>3</v>
      </c>
      <c r="G106">
        <v>85</v>
      </c>
      <c r="H106" t="str">
        <f>VLOOKUP(E106,Productos!$A$2:$D$11,2,FALSE)</f>
        <v>Accesorios</v>
      </c>
      <c r="I106">
        <f>VLOOKUP(E106,Productos!$A$2:$D$11,4,FALSE)</f>
        <v>50</v>
      </c>
      <c r="J106">
        <f t="shared" si="12"/>
        <v>255</v>
      </c>
      <c r="K106">
        <f t="shared" si="13"/>
        <v>105</v>
      </c>
      <c r="L106">
        <f t="shared" si="14"/>
        <v>6</v>
      </c>
      <c r="M106" t="str">
        <f t="shared" si="15"/>
        <v>Pequeña</v>
      </c>
    </row>
    <row r="107" spans="1:13" x14ac:dyDescent="0.25">
      <c r="A107" s="7">
        <v>46181</v>
      </c>
      <c r="B107" t="s">
        <v>11</v>
      </c>
      <c r="C107" t="s">
        <v>40</v>
      </c>
      <c r="D107" t="s">
        <v>28</v>
      </c>
      <c r="E107" t="s">
        <v>48</v>
      </c>
      <c r="F107">
        <v>1</v>
      </c>
      <c r="G107">
        <v>380</v>
      </c>
      <c r="H107" t="str">
        <f>VLOOKUP(E107,Productos!$A$2:$D$11,2,FALSE)</f>
        <v>Electrónica</v>
      </c>
      <c r="I107">
        <f>VLOOKUP(E107,Productos!$A$2:$D$11,4,FALSE)</f>
        <v>270</v>
      </c>
      <c r="J107">
        <f t="shared" si="12"/>
        <v>380</v>
      </c>
      <c r="K107">
        <f t="shared" si="13"/>
        <v>110</v>
      </c>
      <c r="L107">
        <f t="shared" si="14"/>
        <v>6</v>
      </c>
      <c r="M107" t="str">
        <f t="shared" si="15"/>
        <v>Mediana</v>
      </c>
    </row>
    <row r="108" spans="1:13" x14ac:dyDescent="0.25">
      <c r="A108" s="7">
        <v>46182</v>
      </c>
      <c r="B108" t="s">
        <v>9</v>
      </c>
      <c r="C108" t="s">
        <v>40</v>
      </c>
      <c r="D108" t="s">
        <v>24</v>
      </c>
      <c r="E108" t="s">
        <v>46</v>
      </c>
      <c r="F108">
        <v>5</v>
      </c>
      <c r="G108">
        <v>60</v>
      </c>
      <c r="H108" t="str">
        <f>VLOOKUP(E108,Productos!$A$2:$D$11,2,FALSE)</f>
        <v>Accesorios</v>
      </c>
      <c r="I108">
        <f>VLOOKUP(E108,Productos!$A$2:$D$11,4,FALSE)</f>
        <v>32</v>
      </c>
      <c r="J108">
        <f t="shared" si="12"/>
        <v>300</v>
      </c>
      <c r="K108">
        <f t="shared" si="13"/>
        <v>140</v>
      </c>
      <c r="L108">
        <f t="shared" si="14"/>
        <v>6</v>
      </c>
      <c r="M108" t="str">
        <f t="shared" si="15"/>
        <v>Mediana</v>
      </c>
    </row>
    <row r="109" spans="1:13" x14ac:dyDescent="0.25">
      <c r="A109" s="7">
        <v>46185</v>
      </c>
      <c r="B109" t="s">
        <v>15</v>
      </c>
      <c r="C109" t="s">
        <v>40</v>
      </c>
      <c r="D109" t="s">
        <v>27</v>
      </c>
      <c r="E109" t="s">
        <v>48</v>
      </c>
      <c r="F109">
        <v>3</v>
      </c>
      <c r="G109">
        <v>380</v>
      </c>
      <c r="H109" t="str">
        <f>VLOOKUP(E109,Productos!$A$2:$D$11,2,FALSE)</f>
        <v>Electrónica</v>
      </c>
      <c r="I109">
        <f>VLOOKUP(E109,Productos!$A$2:$D$11,4,FALSE)</f>
        <v>270</v>
      </c>
      <c r="J109">
        <f t="shared" si="12"/>
        <v>1140</v>
      </c>
      <c r="K109">
        <f t="shared" si="13"/>
        <v>330</v>
      </c>
      <c r="L109">
        <f t="shared" si="14"/>
        <v>6</v>
      </c>
      <c r="M109" t="str">
        <f t="shared" si="15"/>
        <v>Grande</v>
      </c>
    </row>
    <row r="110" spans="1:13" x14ac:dyDescent="0.25">
      <c r="A110" s="7">
        <v>46188</v>
      </c>
      <c r="B110" t="s">
        <v>11</v>
      </c>
      <c r="C110" t="s">
        <v>40</v>
      </c>
      <c r="D110" t="s">
        <v>25</v>
      </c>
      <c r="E110" t="s">
        <v>49</v>
      </c>
      <c r="F110">
        <v>1</v>
      </c>
      <c r="G110">
        <v>25</v>
      </c>
      <c r="H110" t="str">
        <f>VLOOKUP(E110,Productos!$A$2:$D$11,2,FALSE)</f>
        <v>Accesorios</v>
      </c>
      <c r="I110">
        <f>VLOOKUP(E110,Productos!$A$2:$D$11,4,FALSE)</f>
        <v>12</v>
      </c>
      <c r="J110">
        <f t="shared" si="12"/>
        <v>25</v>
      </c>
      <c r="K110">
        <f t="shared" si="13"/>
        <v>13</v>
      </c>
      <c r="L110">
        <f t="shared" si="14"/>
        <v>6</v>
      </c>
      <c r="M110" t="str">
        <f t="shared" si="15"/>
        <v>Pequeña</v>
      </c>
    </row>
    <row r="111" spans="1:13" x14ac:dyDescent="0.25">
      <c r="A111" s="7">
        <v>46191</v>
      </c>
      <c r="B111" t="s">
        <v>13</v>
      </c>
      <c r="C111" t="s">
        <v>40</v>
      </c>
      <c r="D111" t="s">
        <v>26</v>
      </c>
      <c r="E111" t="s">
        <v>44</v>
      </c>
      <c r="F111">
        <v>4</v>
      </c>
      <c r="G111">
        <v>95</v>
      </c>
      <c r="H111" t="str">
        <f>VLOOKUP(E111,Productos!$A$2:$D$11,2,FALSE)</f>
        <v>Electrónica</v>
      </c>
      <c r="I111">
        <f>VLOOKUP(E111,Productos!$A$2:$D$11,4,FALSE)</f>
        <v>55</v>
      </c>
      <c r="J111">
        <f t="shared" si="12"/>
        <v>380</v>
      </c>
      <c r="K111">
        <f t="shared" si="13"/>
        <v>160</v>
      </c>
      <c r="L111">
        <f t="shared" si="14"/>
        <v>6</v>
      </c>
      <c r="M111" t="str">
        <f t="shared" si="15"/>
        <v>Mediana</v>
      </c>
    </row>
    <row r="112" spans="1:13" x14ac:dyDescent="0.25">
      <c r="A112" s="7">
        <v>46192</v>
      </c>
      <c r="B112" t="s">
        <v>11</v>
      </c>
      <c r="C112" t="s">
        <v>40</v>
      </c>
      <c r="D112" t="s">
        <v>25</v>
      </c>
      <c r="E112" t="s">
        <v>44</v>
      </c>
      <c r="F112">
        <v>6</v>
      </c>
      <c r="G112">
        <v>95</v>
      </c>
      <c r="H112" t="str">
        <f>VLOOKUP(E112,Productos!$A$2:$D$11,2,FALSE)</f>
        <v>Electrónica</v>
      </c>
      <c r="I112">
        <f>VLOOKUP(E112,Productos!$A$2:$D$11,4,FALSE)</f>
        <v>55</v>
      </c>
      <c r="J112">
        <f t="shared" si="12"/>
        <v>570</v>
      </c>
      <c r="K112">
        <f t="shared" si="13"/>
        <v>240</v>
      </c>
      <c r="L112">
        <f t="shared" si="14"/>
        <v>6</v>
      </c>
      <c r="M112" t="str">
        <f t="shared" si="15"/>
        <v>Mediana</v>
      </c>
    </row>
    <row r="113" spans="1:13" x14ac:dyDescent="0.25">
      <c r="A113" s="7">
        <v>46192</v>
      </c>
      <c r="B113" t="s">
        <v>11</v>
      </c>
      <c r="C113" t="s">
        <v>40</v>
      </c>
      <c r="D113" t="s">
        <v>25</v>
      </c>
      <c r="E113" t="s">
        <v>41</v>
      </c>
      <c r="F113">
        <v>3</v>
      </c>
      <c r="G113">
        <v>320</v>
      </c>
      <c r="H113" t="str">
        <f>VLOOKUP(E113,Productos!$A$2:$D$11,2,FALSE)</f>
        <v>Electrónica</v>
      </c>
      <c r="I113">
        <f>VLOOKUP(E113,Productos!$A$2:$D$11,4,FALSE)</f>
        <v>210</v>
      </c>
      <c r="J113">
        <f t="shared" si="12"/>
        <v>960</v>
      </c>
      <c r="K113">
        <f t="shared" si="13"/>
        <v>330</v>
      </c>
      <c r="L113">
        <f t="shared" si="14"/>
        <v>6</v>
      </c>
      <c r="M113" t="str">
        <f t="shared" si="15"/>
        <v>Mediana</v>
      </c>
    </row>
    <row r="114" spans="1:13" x14ac:dyDescent="0.25">
      <c r="A114" s="7">
        <v>46193</v>
      </c>
      <c r="B114" t="s">
        <v>11</v>
      </c>
      <c r="C114" t="s">
        <v>40</v>
      </c>
      <c r="D114" t="s">
        <v>28</v>
      </c>
      <c r="E114" t="s">
        <v>46</v>
      </c>
      <c r="F114">
        <v>8</v>
      </c>
      <c r="G114">
        <v>60</v>
      </c>
      <c r="H114" t="str">
        <f>VLOOKUP(E114,Productos!$A$2:$D$11,2,FALSE)</f>
        <v>Accesorios</v>
      </c>
      <c r="I114">
        <f>VLOOKUP(E114,Productos!$A$2:$D$11,4,FALSE)</f>
        <v>32</v>
      </c>
      <c r="J114">
        <f t="shared" si="12"/>
        <v>480</v>
      </c>
      <c r="K114">
        <f t="shared" si="13"/>
        <v>224</v>
      </c>
      <c r="L114">
        <f t="shared" si="14"/>
        <v>6</v>
      </c>
      <c r="M114" t="str">
        <f t="shared" si="15"/>
        <v>Mediana</v>
      </c>
    </row>
    <row r="115" spans="1:13" x14ac:dyDescent="0.25">
      <c r="A115" s="7">
        <v>46194</v>
      </c>
      <c r="B115" t="s">
        <v>15</v>
      </c>
      <c r="C115" t="s">
        <v>40</v>
      </c>
      <c r="D115" t="s">
        <v>27</v>
      </c>
      <c r="E115" t="s">
        <v>44</v>
      </c>
      <c r="F115">
        <v>1</v>
      </c>
      <c r="G115">
        <v>95</v>
      </c>
      <c r="H115" t="str">
        <f>VLOOKUP(E115,Productos!$A$2:$D$11,2,FALSE)</f>
        <v>Electrónica</v>
      </c>
      <c r="I115">
        <f>VLOOKUP(E115,Productos!$A$2:$D$11,4,FALSE)</f>
        <v>55</v>
      </c>
      <c r="J115">
        <f t="shared" si="12"/>
        <v>95</v>
      </c>
      <c r="K115">
        <f t="shared" si="13"/>
        <v>40</v>
      </c>
      <c r="L115">
        <f t="shared" si="14"/>
        <v>6</v>
      </c>
      <c r="M115" t="str">
        <f t="shared" si="15"/>
        <v>Pequeña</v>
      </c>
    </row>
    <row r="116" spans="1:13" x14ac:dyDescent="0.25">
      <c r="A116" s="7">
        <v>46194</v>
      </c>
      <c r="B116" t="s">
        <v>11</v>
      </c>
      <c r="C116" t="s">
        <v>40</v>
      </c>
      <c r="D116" t="s">
        <v>25</v>
      </c>
      <c r="E116" t="s">
        <v>41</v>
      </c>
      <c r="F116">
        <v>1</v>
      </c>
      <c r="G116">
        <v>320</v>
      </c>
      <c r="H116" t="str">
        <f>VLOOKUP(E116,Productos!$A$2:$D$11,2,FALSE)</f>
        <v>Electrónica</v>
      </c>
      <c r="I116">
        <f>VLOOKUP(E116,Productos!$A$2:$D$11,4,FALSE)</f>
        <v>210</v>
      </c>
      <c r="J116">
        <f t="shared" si="12"/>
        <v>320</v>
      </c>
      <c r="K116">
        <f t="shared" si="13"/>
        <v>110</v>
      </c>
      <c r="L116">
        <f t="shared" si="14"/>
        <v>6</v>
      </c>
      <c r="M116" t="str">
        <f t="shared" si="15"/>
        <v>Mediana</v>
      </c>
    </row>
    <row r="117" spans="1:13" x14ac:dyDescent="0.25">
      <c r="A117" s="7">
        <v>46195</v>
      </c>
      <c r="B117" t="s">
        <v>11</v>
      </c>
      <c r="C117" t="s">
        <v>40</v>
      </c>
      <c r="D117" t="s">
        <v>28</v>
      </c>
      <c r="E117" t="s">
        <v>49</v>
      </c>
      <c r="F117">
        <v>2</v>
      </c>
      <c r="G117">
        <v>25</v>
      </c>
      <c r="H117" t="str">
        <f>VLOOKUP(E117,Productos!$A$2:$D$11,2,FALSE)</f>
        <v>Accesorios</v>
      </c>
      <c r="I117">
        <f>VLOOKUP(E117,Productos!$A$2:$D$11,4,FALSE)</f>
        <v>12</v>
      </c>
      <c r="J117">
        <f t="shared" si="12"/>
        <v>50</v>
      </c>
      <c r="K117">
        <f t="shared" si="13"/>
        <v>26</v>
      </c>
      <c r="L117">
        <f t="shared" si="14"/>
        <v>6</v>
      </c>
      <c r="M117" t="str">
        <f t="shared" si="15"/>
        <v>Pequeña</v>
      </c>
    </row>
    <row r="118" spans="1:13" x14ac:dyDescent="0.25">
      <c r="A118" s="7">
        <v>46197</v>
      </c>
      <c r="B118" t="s">
        <v>13</v>
      </c>
      <c r="C118" t="s">
        <v>40</v>
      </c>
      <c r="D118" t="s">
        <v>26</v>
      </c>
      <c r="E118" t="s">
        <v>44</v>
      </c>
      <c r="F118">
        <v>4</v>
      </c>
      <c r="G118">
        <v>95</v>
      </c>
      <c r="H118" t="str">
        <f>VLOOKUP(E118,Productos!$A$2:$D$11,2,FALSE)</f>
        <v>Electrónica</v>
      </c>
      <c r="I118">
        <f>VLOOKUP(E118,Productos!$A$2:$D$11,4,FALSE)</f>
        <v>55</v>
      </c>
      <c r="J118">
        <f t="shared" si="12"/>
        <v>380</v>
      </c>
      <c r="K118">
        <f t="shared" si="13"/>
        <v>160</v>
      </c>
      <c r="L118">
        <f t="shared" si="14"/>
        <v>6</v>
      </c>
      <c r="M118" t="str">
        <f t="shared" si="15"/>
        <v>Mediana</v>
      </c>
    </row>
    <row r="119" spans="1:13" x14ac:dyDescent="0.25">
      <c r="A119" s="7">
        <v>46197</v>
      </c>
      <c r="B119" t="s">
        <v>11</v>
      </c>
      <c r="C119" t="s">
        <v>40</v>
      </c>
      <c r="D119" t="s">
        <v>28</v>
      </c>
      <c r="E119" t="s">
        <v>47</v>
      </c>
      <c r="F119">
        <v>4</v>
      </c>
      <c r="G119">
        <v>210</v>
      </c>
      <c r="H119" t="str">
        <f>VLOOKUP(E119,Productos!$A$2:$D$11,2,FALSE)</f>
        <v>Oficina</v>
      </c>
      <c r="I119">
        <f>VLOOKUP(E119,Productos!$A$2:$D$11,4,FALSE)</f>
        <v>140</v>
      </c>
      <c r="J119">
        <f t="shared" si="12"/>
        <v>840</v>
      </c>
      <c r="K119">
        <f t="shared" si="13"/>
        <v>280</v>
      </c>
      <c r="L119">
        <f t="shared" si="14"/>
        <v>6</v>
      </c>
      <c r="M119" t="str">
        <f t="shared" si="15"/>
        <v>Mediana</v>
      </c>
    </row>
    <row r="120" spans="1:13" x14ac:dyDescent="0.25">
      <c r="A120" s="7">
        <v>46198</v>
      </c>
      <c r="B120" t="s">
        <v>15</v>
      </c>
      <c r="C120" t="s">
        <v>40</v>
      </c>
      <c r="D120" t="s">
        <v>27</v>
      </c>
      <c r="E120" t="s">
        <v>43</v>
      </c>
      <c r="F120">
        <v>4</v>
      </c>
      <c r="G120">
        <v>85</v>
      </c>
      <c r="H120" t="str">
        <f>VLOOKUP(E120,Productos!$A$2:$D$11,2,FALSE)</f>
        <v>Accesorios</v>
      </c>
      <c r="I120">
        <f>VLOOKUP(E120,Productos!$A$2:$D$11,4,FALSE)</f>
        <v>50</v>
      </c>
      <c r="J120">
        <f t="shared" si="12"/>
        <v>340</v>
      </c>
      <c r="K120">
        <f t="shared" si="13"/>
        <v>140</v>
      </c>
      <c r="L120">
        <f t="shared" si="14"/>
        <v>6</v>
      </c>
      <c r="M120" t="str">
        <f t="shared" si="15"/>
        <v>Mediana</v>
      </c>
    </row>
    <row r="121" spans="1:13" x14ac:dyDescent="0.25">
      <c r="A121" s="7">
        <v>46201</v>
      </c>
      <c r="B121" t="s">
        <v>9</v>
      </c>
      <c r="C121" t="s">
        <v>40</v>
      </c>
      <c r="D121" t="s">
        <v>24</v>
      </c>
      <c r="E121" t="s">
        <v>43</v>
      </c>
      <c r="F121">
        <v>5</v>
      </c>
      <c r="G121">
        <v>85</v>
      </c>
      <c r="H121" t="str">
        <f>VLOOKUP(E121,Productos!$A$2:$D$11,2,FALSE)</f>
        <v>Accesorios</v>
      </c>
      <c r="I121">
        <f>VLOOKUP(E121,Productos!$A$2:$D$11,4,FALSE)</f>
        <v>50</v>
      </c>
      <c r="J121">
        <f t="shared" si="12"/>
        <v>425</v>
      </c>
      <c r="K121">
        <f t="shared" si="13"/>
        <v>175</v>
      </c>
      <c r="L121">
        <f t="shared" si="14"/>
        <v>6</v>
      </c>
      <c r="M121" t="str">
        <f t="shared" si="15"/>
        <v>Mediana</v>
      </c>
    </row>
  </sheetData>
  <conditionalFormatting sqref="J2:J121">
    <cfRule type="dataBar" priority="1">
      <dataBar>
        <cfvo type="min"/>
        <cfvo type="max"/>
        <color rgb="FF1E5BFF"/>
      </dataBar>
    </cfRule>
    <cfRule type="cellIs" dxfId="0" priority="2" operator="greaterThanOrEqual">
      <formula>1000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sheetData>
    <row r="1" spans="1:4" x14ac:dyDescent="0.25">
      <c r="A1" t="s">
        <v>31</v>
      </c>
      <c r="B1" t="s">
        <v>34</v>
      </c>
      <c r="C1" t="s">
        <v>33</v>
      </c>
      <c r="D1" t="s">
        <v>35</v>
      </c>
    </row>
    <row r="2" spans="1:4" x14ac:dyDescent="0.25">
      <c r="A2" t="s">
        <v>51</v>
      </c>
      <c r="B2" t="s">
        <v>52</v>
      </c>
      <c r="C2">
        <v>1200</v>
      </c>
      <c r="D2">
        <v>900</v>
      </c>
    </row>
    <row r="3" spans="1:4" x14ac:dyDescent="0.25">
      <c r="A3" t="s">
        <v>41</v>
      </c>
      <c r="B3" t="s">
        <v>52</v>
      </c>
      <c r="C3">
        <v>320</v>
      </c>
      <c r="D3">
        <v>210</v>
      </c>
    </row>
    <row r="4" spans="1:4" x14ac:dyDescent="0.25">
      <c r="A4" t="s">
        <v>49</v>
      </c>
      <c r="B4" t="s">
        <v>53</v>
      </c>
      <c r="C4">
        <v>25</v>
      </c>
      <c r="D4">
        <v>12</v>
      </c>
    </row>
    <row r="5" spans="1:4" x14ac:dyDescent="0.25">
      <c r="A5" t="s">
        <v>43</v>
      </c>
      <c r="B5" t="s">
        <v>53</v>
      </c>
      <c r="C5">
        <v>85</v>
      </c>
      <c r="D5">
        <v>50</v>
      </c>
    </row>
    <row r="6" spans="1:4" x14ac:dyDescent="0.25">
      <c r="A6" t="s">
        <v>45</v>
      </c>
      <c r="B6" t="s">
        <v>54</v>
      </c>
      <c r="C6">
        <v>260</v>
      </c>
      <c r="D6">
        <v>150</v>
      </c>
    </row>
    <row r="7" spans="1:4" x14ac:dyDescent="0.25">
      <c r="A7" t="s">
        <v>50</v>
      </c>
      <c r="B7" t="s">
        <v>54</v>
      </c>
      <c r="C7">
        <v>480</v>
      </c>
      <c r="D7">
        <v>300</v>
      </c>
    </row>
    <row r="8" spans="1:4" x14ac:dyDescent="0.25">
      <c r="A8" t="s">
        <v>47</v>
      </c>
      <c r="B8" t="s">
        <v>54</v>
      </c>
      <c r="C8">
        <v>210</v>
      </c>
      <c r="D8">
        <v>140</v>
      </c>
    </row>
    <row r="9" spans="1:4" x14ac:dyDescent="0.25">
      <c r="A9" t="s">
        <v>44</v>
      </c>
      <c r="B9" t="s">
        <v>52</v>
      </c>
      <c r="C9">
        <v>95</v>
      </c>
      <c r="D9">
        <v>55</v>
      </c>
    </row>
    <row r="10" spans="1:4" x14ac:dyDescent="0.25">
      <c r="A10" t="s">
        <v>46</v>
      </c>
      <c r="B10" t="s">
        <v>53</v>
      </c>
      <c r="C10">
        <v>60</v>
      </c>
      <c r="D10">
        <v>32</v>
      </c>
    </row>
    <row r="11" spans="1:4" x14ac:dyDescent="0.25">
      <c r="A11" t="s">
        <v>48</v>
      </c>
      <c r="B11" t="s">
        <v>52</v>
      </c>
      <c r="C11">
        <v>380</v>
      </c>
      <c r="D11">
        <v>270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5" x14ac:dyDescent="0.25"/>
  <sheetData>
    <row r="1" spans="1:3" x14ac:dyDescent="0.25">
      <c r="A1" t="s">
        <v>19</v>
      </c>
      <c r="B1" t="s">
        <v>4</v>
      </c>
      <c r="C1" t="s">
        <v>20</v>
      </c>
    </row>
    <row r="2" spans="1:3" x14ac:dyDescent="0.25">
      <c r="A2" t="s">
        <v>23</v>
      </c>
      <c r="B2" t="s">
        <v>9</v>
      </c>
      <c r="C2">
        <v>22000</v>
      </c>
    </row>
    <row r="3" spans="1:3" x14ac:dyDescent="0.25">
      <c r="A3" t="s">
        <v>24</v>
      </c>
      <c r="B3" t="s">
        <v>9</v>
      </c>
      <c r="C3">
        <v>18000</v>
      </c>
    </row>
    <row r="4" spans="1:3" x14ac:dyDescent="0.25">
      <c r="A4" t="s">
        <v>25</v>
      </c>
      <c r="B4" t="s">
        <v>11</v>
      </c>
      <c r="C4">
        <v>20000</v>
      </c>
    </row>
    <row r="5" spans="1:3" x14ac:dyDescent="0.25">
      <c r="A5" t="s">
        <v>26</v>
      </c>
      <c r="B5" t="s">
        <v>13</v>
      </c>
      <c r="C5">
        <v>20000</v>
      </c>
    </row>
    <row r="6" spans="1:3" x14ac:dyDescent="0.25">
      <c r="A6" t="s">
        <v>27</v>
      </c>
      <c r="B6" t="s">
        <v>15</v>
      </c>
      <c r="C6">
        <v>21000</v>
      </c>
    </row>
    <row r="7" spans="1:3" x14ac:dyDescent="0.25">
      <c r="A7" t="s">
        <v>28</v>
      </c>
      <c r="B7" t="s">
        <v>11</v>
      </c>
      <c r="C7">
        <v>17000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/>
  </sheetViews>
  <sheetFormatPr defaultRowHeight="15" x14ac:dyDescent="0.25"/>
  <cols>
    <col min="1" max="1" width="110" customWidth="1"/>
  </cols>
  <sheetData>
    <row r="1" spans="1:1" ht="17.25" x14ac:dyDescent="0.3">
      <c r="A1" s="8" t="s">
        <v>55</v>
      </c>
    </row>
    <row r="3" spans="1:1" x14ac:dyDescent="0.25">
      <c r="A3" s="9" t="s">
        <v>56</v>
      </c>
    </row>
    <row r="4" spans="1:1" x14ac:dyDescent="0.25">
      <c r="A4" s="9" t="s">
        <v>57</v>
      </c>
    </row>
    <row r="5" spans="1:1" x14ac:dyDescent="0.25">
      <c r="A5" s="9" t="s">
        <v>58</v>
      </c>
    </row>
    <row r="6" spans="1:1" x14ac:dyDescent="0.25">
      <c r="A6" s="9" t="s">
        <v>59</v>
      </c>
    </row>
    <row r="7" spans="1:1" x14ac:dyDescent="0.25">
      <c r="A7" s="9" t="s">
        <v>60</v>
      </c>
    </row>
    <row r="8" spans="1:1" x14ac:dyDescent="0.25">
      <c r="A8" s="9" t="s">
        <v>61</v>
      </c>
    </row>
    <row r="9" spans="1:1" x14ac:dyDescent="0.25">
      <c r="A9" s="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Datos</vt:lpstr>
      <vt:lpstr>Productos</vt:lpstr>
      <vt:lpstr>Vendedores</vt:lpstr>
      <vt:lpstr>Tu 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ANALISTA TI-TRACKER</cp:lastModifiedBy>
  <dcterms:created xsi:type="dcterms:W3CDTF">2026-10-14T19:53:43Z</dcterms:created>
  <dcterms:modified xsi:type="dcterms:W3CDTF">2026-10-14T19:53:46Z</dcterms:modified>
</cp:coreProperties>
</file>